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khty\Downloads\"/>
    </mc:Choice>
  </mc:AlternateContent>
  <xr:revisionPtr revIDLastSave="0" documentId="8_{A58A1895-4847-424B-9D2C-3C32C9B825D1}" xr6:coauthVersionLast="47" xr6:coauthVersionMax="47" xr10:uidLastSave="{00000000-0000-0000-0000-000000000000}"/>
  <bookViews>
    <workbookView xWindow="-120" yWindow="-120" windowWidth="20730" windowHeight="11160" xr2:uid="{308F07F4-9A2F-488C-A5DE-8D3FDD9E99F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1" i="1" l="1"/>
  <c r="R90" i="1"/>
  <c r="R89" i="1"/>
  <c r="R88" i="1"/>
  <c r="R86" i="1"/>
  <c r="R85" i="1"/>
  <c r="R83" i="1"/>
  <c r="R82" i="1"/>
  <c r="R81" i="1"/>
  <c r="Q76" i="1"/>
  <c r="R76" i="1"/>
  <c r="S76" i="1"/>
  <c r="T76" i="1"/>
  <c r="U76" i="1"/>
  <c r="V76" i="1"/>
  <c r="W76" i="1"/>
  <c r="X76" i="1"/>
  <c r="Y76" i="1"/>
  <c r="Q69" i="1"/>
  <c r="Q70" i="1"/>
  <c r="Q68" i="1"/>
  <c r="Q67" i="1"/>
  <c r="R55" i="1"/>
  <c r="Q37" i="1"/>
  <c r="V57" i="1"/>
  <c r="W57" i="1"/>
  <c r="U56" i="1"/>
  <c r="V56" i="1"/>
  <c r="U55" i="1"/>
  <c r="V55" i="1"/>
  <c r="T54" i="1"/>
  <c r="U54" i="1"/>
  <c r="S53" i="1"/>
  <c r="T53" i="1"/>
  <c r="U53" i="1"/>
  <c r="Y43" i="1"/>
  <c r="Y56" i="1" s="1"/>
  <c r="R43" i="1"/>
  <c r="R57" i="1" s="1"/>
  <c r="S43" i="1"/>
  <c r="S57" i="1" s="1"/>
  <c r="T43" i="1"/>
  <c r="T57" i="1" s="1"/>
  <c r="U43" i="1"/>
  <c r="U57" i="1" s="1"/>
  <c r="V43" i="1"/>
  <c r="V53" i="1" s="1"/>
  <c r="W43" i="1"/>
  <c r="W54" i="1" s="1"/>
  <c r="X43" i="1"/>
  <c r="X56" i="1" s="1"/>
  <c r="Q43" i="1"/>
  <c r="Q57" i="1" s="1"/>
  <c r="Q38" i="1"/>
  <c r="Q40" i="1"/>
  <c r="Q39" i="1"/>
  <c r="I24" i="1"/>
  <c r="M24" i="1"/>
  <c r="U26" i="1"/>
  <c r="V26" i="1"/>
  <c r="W26" i="1"/>
  <c r="X26" i="1"/>
  <c r="V25" i="1"/>
  <c r="W25" i="1"/>
  <c r="X25" i="1"/>
  <c r="V24" i="1"/>
  <c r="W24" i="1"/>
  <c r="X24" i="1"/>
  <c r="Y24" i="1"/>
  <c r="V27" i="1"/>
  <c r="W27" i="1"/>
  <c r="X27" i="1"/>
  <c r="R23" i="1"/>
  <c r="H22" i="1"/>
  <c r="Q14" i="1"/>
  <c r="Q27" i="1" s="1"/>
  <c r="R14" i="1"/>
  <c r="R27" i="1" s="1"/>
  <c r="S14" i="1"/>
  <c r="S24" i="1" s="1"/>
  <c r="T14" i="1"/>
  <c r="T24" i="1" s="1"/>
  <c r="U14" i="1"/>
  <c r="U27" i="1" s="1"/>
  <c r="Y14" i="1"/>
  <c r="Y26" i="1" s="1"/>
  <c r="J24" i="1"/>
  <c r="H24" i="1"/>
  <c r="K23" i="1"/>
  <c r="J23" i="1"/>
  <c r="I23" i="1"/>
  <c r="M23" i="1" s="1"/>
  <c r="K22" i="1"/>
  <c r="M22" i="1" s="1"/>
  <c r="J22" i="1"/>
  <c r="T27" i="1" l="1"/>
  <c r="Y25" i="1"/>
  <c r="V54" i="1"/>
  <c r="W55" i="1"/>
  <c r="W56" i="1"/>
  <c r="X57" i="1"/>
  <c r="T26" i="1"/>
  <c r="Q53" i="1"/>
  <c r="R53" i="1"/>
  <c r="S54" i="1"/>
  <c r="T55" i="1"/>
  <c r="T56" i="1"/>
  <c r="U25" i="1"/>
  <c r="Y53" i="1"/>
  <c r="Q54" i="1"/>
  <c r="R54" i="1"/>
  <c r="S55" i="1"/>
  <c r="S56" i="1"/>
  <c r="T25" i="1"/>
  <c r="X53" i="1"/>
  <c r="Y54" i="1"/>
  <c r="Q55" i="1"/>
  <c r="Q56" i="1"/>
  <c r="R56" i="1"/>
  <c r="U24" i="1"/>
  <c r="W53" i="1"/>
  <c r="X54" i="1"/>
  <c r="Y55" i="1"/>
  <c r="X55" i="1"/>
  <c r="R25" i="1"/>
  <c r="Q26" i="1"/>
  <c r="Q25" i="1"/>
  <c r="R26" i="1"/>
  <c r="R24" i="1"/>
  <c r="S25" i="1"/>
  <c r="S26" i="1"/>
  <c r="Q24" i="1"/>
  <c r="S27" i="1"/>
</calcChain>
</file>

<file path=xl/sharedStrings.xml><?xml version="1.0" encoding="utf-8"?>
<sst xmlns="http://schemas.openxmlformats.org/spreadsheetml/2006/main" count="111" uniqueCount="32">
  <si>
    <t>А</t>
  </si>
  <si>
    <t>Б</t>
  </si>
  <si>
    <t>В</t>
  </si>
  <si>
    <t>Г</t>
  </si>
  <si>
    <t>Прибыль</t>
  </si>
  <si>
    <t>Фонд раб. Времени</t>
  </si>
  <si>
    <t>Изделия оборуд.</t>
  </si>
  <si>
    <t>x1, x2, x3 &gt;=0</t>
  </si>
  <si>
    <t>+</t>
  </si>
  <si>
    <t>x4</t>
  </si>
  <si>
    <t>x5</t>
  </si>
  <si>
    <t>x6</t>
  </si>
  <si>
    <t>x7</t>
  </si>
  <si>
    <t>x1</t>
  </si>
  <si>
    <t>x2</t>
  </si>
  <si>
    <t>x3</t>
  </si>
  <si>
    <t>bi</t>
  </si>
  <si>
    <t>1ст</t>
  </si>
  <si>
    <t>2ст</t>
  </si>
  <si>
    <t>3ст</t>
  </si>
  <si>
    <t>x1=</t>
  </si>
  <si>
    <t>x2=</t>
  </si>
  <si>
    <t>x3=</t>
  </si>
  <si>
    <t>Fmax=</t>
  </si>
  <si>
    <t>ОТВЕТ</t>
  </si>
  <si>
    <t>Д</t>
  </si>
  <si>
    <t>6x1+x2&lt;=60</t>
  </si>
  <si>
    <t>3x1+4x3&lt;=80</t>
  </si>
  <si>
    <t>x1+5x2+x3&lt;=80</t>
  </si>
  <si>
    <t>3x2+4x3&lt;=50</t>
  </si>
  <si>
    <t>2x1+3x2+2x3&lt;=56</t>
  </si>
  <si>
    <t>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</si>
</sst>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0" fillId="0" borderId="10" xfId="0" applyFill="1" applyBorder="1"/>
    <xf numFmtId="0" fontId="0" fillId="2" borderId="10" xfId="0" applyFill="1" applyBorder="1"/>
    <xf numFmtId="0" fontId="0" fillId="3" borderId="0" xfId="0" applyFill="1"/>
    <xf numFmtId="0" fontId="0" fillId="0" borderId="0" xfId="0" applyFill="1"/>
    <xf numFmtId="0" fontId="0" fillId="2" borderId="0" xfId="0" applyFill="1"/>
    <xf numFmtId="0" fontId="0" fillId="0" borderId="0" xfId="0" applyBorder="1"/>
    <xf numFmtId="0" fontId="0" fillId="2" borderId="12" xfId="0" applyFill="1" applyBorder="1"/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0" fillId="0" borderId="0" xfId="0" applyFill="1" applyBorder="1"/>
    <xf numFmtId="0" fontId="1" fillId="0" borderId="0" xfId="0" applyFont="1" applyFill="1" applyBorder="1"/>
    <xf numFmtId="0" fontId="0" fillId="2" borderId="1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4948-1D07-4268-92B9-8BA68C0F4DA3}">
  <dimension ref="A1:Z108"/>
  <sheetViews>
    <sheetView tabSelected="1" topLeftCell="H71" zoomScale="85" zoomScaleNormal="85" workbookViewId="0">
      <selection activeCell="N85" sqref="N85"/>
    </sheetView>
  </sheetViews>
  <sheetFormatPr defaultRowHeight="15" x14ac:dyDescent="0.25"/>
  <cols>
    <col min="1" max="1" width="20.85546875" customWidth="1"/>
    <col min="5" max="5" width="12.7109375" customWidth="1"/>
  </cols>
  <sheetData>
    <row r="1" spans="1:25" ht="14.25" customHeight="1" x14ac:dyDescent="0.25">
      <c r="A1" s="13" t="s">
        <v>6</v>
      </c>
      <c r="B1" s="13">
        <v>1</v>
      </c>
      <c r="C1" s="13">
        <v>2</v>
      </c>
      <c r="D1" s="13">
        <v>3</v>
      </c>
      <c r="E1" s="13" t="s">
        <v>5</v>
      </c>
    </row>
    <row r="2" spans="1:25" ht="15" customHeight="1" x14ac:dyDescent="0.25">
      <c r="A2" s="14"/>
      <c r="B2" s="14"/>
      <c r="C2" s="14"/>
      <c r="D2" s="14"/>
      <c r="E2" s="14"/>
    </row>
    <row r="3" spans="1:25" ht="19.5" customHeight="1" thickBot="1" x14ac:dyDescent="0.3">
      <c r="A3" s="15"/>
      <c r="B3" s="15"/>
      <c r="C3" s="15"/>
      <c r="D3" s="15"/>
      <c r="E3" s="15"/>
    </row>
    <row r="4" spans="1:25" ht="18.75" x14ac:dyDescent="0.25">
      <c r="A4" s="4" t="s">
        <v>0</v>
      </c>
      <c r="B4" s="1">
        <v>6</v>
      </c>
      <c r="C4" s="1">
        <v>1</v>
      </c>
      <c r="D4" s="1">
        <v>0</v>
      </c>
      <c r="E4" s="2">
        <v>60</v>
      </c>
    </row>
    <row r="5" spans="1:25" ht="18.75" x14ac:dyDescent="0.25">
      <c r="A5" s="5" t="s">
        <v>1</v>
      </c>
      <c r="B5" s="6">
        <v>3</v>
      </c>
      <c r="C5" s="6">
        <v>0</v>
      </c>
      <c r="D5" s="6">
        <v>4</v>
      </c>
      <c r="E5" s="3">
        <v>80</v>
      </c>
    </row>
    <row r="6" spans="1:25" ht="18.75" x14ac:dyDescent="0.25">
      <c r="A6" s="5" t="s">
        <v>2</v>
      </c>
      <c r="B6" s="6">
        <v>1</v>
      </c>
      <c r="C6" s="6">
        <v>5</v>
      </c>
      <c r="D6" s="6">
        <v>1</v>
      </c>
      <c r="E6" s="3">
        <v>80</v>
      </c>
    </row>
    <row r="7" spans="1:25" ht="18.75" x14ac:dyDescent="0.25">
      <c r="A7" s="5" t="s">
        <v>3</v>
      </c>
      <c r="B7" s="6">
        <v>0</v>
      </c>
      <c r="C7" s="6">
        <v>3</v>
      </c>
      <c r="D7" s="6">
        <v>4</v>
      </c>
      <c r="E7" s="3">
        <v>50</v>
      </c>
    </row>
    <row r="8" spans="1:25" ht="18.75" x14ac:dyDescent="0.25">
      <c r="A8" s="5" t="s">
        <v>25</v>
      </c>
      <c r="B8" s="6">
        <v>2</v>
      </c>
      <c r="C8" s="6">
        <v>3</v>
      </c>
      <c r="D8" s="6">
        <v>2</v>
      </c>
      <c r="E8" s="3">
        <v>56</v>
      </c>
    </row>
    <row r="9" spans="1:25" ht="19.5" thickBot="1" x14ac:dyDescent="0.3">
      <c r="A9" s="16" t="s">
        <v>4</v>
      </c>
      <c r="B9" s="7">
        <v>6</v>
      </c>
      <c r="C9" s="7">
        <v>5</v>
      </c>
      <c r="D9" s="7">
        <v>7</v>
      </c>
      <c r="E9" s="8"/>
    </row>
    <row r="12" spans="1:25" x14ac:dyDescent="0.25">
      <c r="B12" s="12" t="s">
        <v>26</v>
      </c>
      <c r="C12" s="12"/>
      <c r="D12" s="9" t="s">
        <v>8</v>
      </c>
      <c r="E12" t="s">
        <v>9</v>
      </c>
      <c r="G12" s="10" t="s">
        <v>13</v>
      </c>
      <c r="H12" s="10" t="s">
        <v>14</v>
      </c>
      <c r="I12" s="10" t="s">
        <v>15</v>
      </c>
      <c r="J12" s="10" t="s">
        <v>9</v>
      </c>
      <c r="K12" s="10" t="s">
        <v>10</v>
      </c>
      <c r="L12" s="10" t="s">
        <v>11</v>
      </c>
      <c r="M12" s="10" t="s">
        <v>12</v>
      </c>
      <c r="N12" s="10" t="s">
        <v>31</v>
      </c>
      <c r="O12" s="10" t="s">
        <v>16</v>
      </c>
      <c r="Q12" s="10" t="s">
        <v>13</v>
      </c>
      <c r="R12" s="10" t="s">
        <v>14</v>
      </c>
      <c r="S12" s="10" t="s">
        <v>15</v>
      </c>
      <c r="T12" s="10" t="s">
        <v>9</v>
      </c>
      <c r="U12" s="10" t="s">
        <v>10</v>
      </c>
      <c r="V12" s="10" t="s">
        <v>11</v>
      </c>
      <c r="W12" s="10" t="s">
        <v>12</v>
      </c>
      <c r="X12" s="10" t="s">
        <v>31</v>
      </c>
      <c r="Y12" s="10" t="s">
        <v>16</v>
      </c>
    </row>
    <row r="13" spans="1:25" x14ac:dyDescent="0.25">
      <c r="B13" s="12" t="s">
        <v>27</v>
      </c>
      <c r="C13" s="12"/>
      <c r="D13" s="9" t="s">
        <v>8</v>
      </c>
      <c r="E13" t="s">
        <v>10</v>
      </c>
      <c r="G13" s="10">
        <v>6</v>
      </c>
      <c r="H13" s="10">
        <v>1</v>
      </c>
      <c r="I13" s="10">
        <v>0</v>
      </c>
      <c r="J13" s="10">
        <v>1</v>
      </c>
      <c r="K13" s="10">
        <v>0</v>
      </c>
      <c r="L13" s="10">
        <v>0</v>
      </c>
      <c r="M13" s="10">
        <v>0</v>
      </c>
      <c r="N13" s="10">
        <v>0</v>
      </c>
      <c r="O13" s="10">
        <v>60</v>
      </c>
      <c r="Q13" s="10">
        <v>6</v>
      </c>
      <c r="R13" s="10">
        <v>1</v>
      </c>
      <c r="S13" s="10">
        <v>0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60</v>
      </c>
    </row>
    <row r="14" spans="1:25" x14ac:dyDescent="0.25">
      <c r="B14" s="12" t="s">
        <v>28</v>
      </c>
      <c r="C14" s="12"/>
      <c r="D14" s="9" t="s">
        <v>8</v>
      </c>
      <c r="E14" t="s">
        <v>11</v>
      </c>
      <c r="G14" s="10">
        <v>3</v>
      </c>
      <c r="H14" s="17">
        <v>0</v>
      </c>
      <c r="I14" s="18">
        <v>4</v>
      </c>
      <c r="J14" s="10">
        <v>0</v>
      </c>
      <c r="K14" s="10">
        <v>1</v>
      </c>
      <c r="L14" s="10">
        <v>0</v>
      </c>
      <c r="M14" s="10">
        <v>0</v>
      </c>
      <c r="N14" s="10">
        <v>0</v>
      </c>
      <c r="O14" s="10">
        <v>80</v>
      </c>
      <c r="Q14" s="10">
        <f t="shared" ref="Q14:T14" si="0">G14/4</f>
        <v>0.75</v>
      </c>
      <c r="R14" s="10">
        <f t="shared" si="0"/>
        <v>0</v>
      </c>
      <c r="S14" s="18">
        <f t="shared" si="0"/>
        <v>1</v>
      </c>
      <c r="T14" s="10">
        <f t="shared" si="0"/>
        <v>0</v>
      </c>
      <c r="U14" s="10">
        <f>K14/4</f>
        <v>0.25</v>
      </c>
      <c r="V14" s="10">
        <v>0</v>
      </c>
      <c r="W14" s="10">
        <v>0</v>
      </c>
      <c r="X14" s="10">
        <v>0</v>
      </c>
      <c r="Y14" s="10">
        <f>O14/4</f>
        <v>20</v>
      </c>
    </row>
    <row r="15" spans="1:25" x14ac:dyDescent="0.25">
      <c r="B15" s="12" t="s">
        <v>29</v>
      </c>
      <c r="C15" s="12"/>
      <c r="D15" s="9" t="s">
        <v>8</v>
      </c>
      <c r="E15" t="s">
        <v>12</v>
      </c>
      <c r="G15" s="10">
        <v>1</v>
      </c>
      <c r="H15" s="10">
        <v>5</v>
      </c>
      <c r="I15" s="10">
        <v>1</v>
      </c>
      <c r="J15" s="10">
        <v>0</v>
      </c>
      <c r="K15" s="10">
        <v>0</v>
      </c>
      <c r="L15" s="10">
        <v>1</v>
      </c>
      <c r="M15" s="10">
        <v>0</v>
      </c>
      <c r="N15" s="10">
        <v>0</v>
      </c>
      <c r="O15" s="10">
        <v>80</v>
      </c>
      <c r="Q15" s="10">
        <v>1</v>
      </c>
      <c r="R15" s="10">
        <v>5</v>
      </c>
      <c r="S15" s="10">
        <v>1</v>
      </c>
      <c r="T15" s="10">
        <v>0</v>
      </c>
      <c r="U15" s="10">
        <v>0</v>
      </c>
      <c r="V15" s="10">
        <v>1</v>
      </c>
      <c r="W15" s="10">
        <v>0</v>
      </c>
      <c r="X15" s="10">
        <v>0</v>
      </c>
      <c r="Y15" s="10">
        <v>80</v>
      </c>
    </row>
    <row r="16" spans="1:25" x14ac:dyDescent="0.25">
      <c r="B16" t="s">
        <v>30</v>
      </c>
      <c r="G16" s="10">
        <v>0</v>
      </c>
      <c r="H16" s="10">
        <v>3</v>
      </c>
      <c r="I16" s="10">
        <v>4</v>
      </c>
      <c r="J16" s="10">
        <v>0</v>
      </c>
      <c r="K16" s="10">
        <v>0</v>
      </c>
      <c r="L16" s="10">
        <v>0</v>
      </c>
      <c r="M16" s="10">
        <v>1</v>
      </c>
      <c r="N16" s="10">
        <v>0</v>
      </c>
      <c r="O16" s="10">
        <v>50</v>
      </c>
      <c r="Q16" s="10">
        <v>0</v>
      </c>
      <c r="R16" s="10">
        <v>3</v>
      </c>
      <c r="S16" s="10">
        <v>4</v>
      </c>
      <c r="T16" s="10">
        <v>0</v>
      </c>
      <c r="U16" s="10">
        <v>0</v>
      </c>
      <c r="V16" s="10">
        <v>0</v>
      </c>
      <c r="W16" s="10">
        <v>1</v>
      </c>
      <c r="X16" s="10">
        <v>0</v>
      </c>
      <c r="Y16" s="10">
        <v>50</v>
      </c>
    </row>
    <row r="17" spans="2:25" x14ac:dyDescent="0.25">
      <c r="G17" s="10">
        <v>2</v>
      </c>
      <c r="H17" s="10">
        <v>3</v>
      </c>
      <c r="I17" s="10">
        <v>2</v>
      </c>
      <c r="J17" s="10">
        <v>0</v>
      </c>
      <c r="K17" s="10">
        <v>0</v>
      </c>
      <c r="L17" s="10">
        <v>0</v>
      </c>
      <c r="M17" s="10">
        <v>0</v>
      </c>
      <c r="N17" s="10">
        <v>1</v>
      </c>
      <c r="O17" s="10">
        <v>56</v>
      </c>
      <c r="Q17" s="10">
        <v>2</v>
      </c>
      <c r="R17" s="10">
        <v>3</v>
      </c>
      <c r="S17" s="10">
        <v>2</v>
      </c>
      <c r="T17" s="10">
        <v>0</v>
      </c>
      <c r="U17" s="10">
        <v>0</v>
      </c>
      <c r="V17" s="10">
        <v>0</v>
      </c>
      <c r="W17" s="10">
        <v>0</v>
      </c>
      <c r="X17" s="10">
        <v>1</v>
      </c>
      <c r="Y17" s="10">
        <v>56</v>
      </c>
    </row>
    <row r="18" spans="2:25" x14ac:dyDescent="0.25">
      <c r="B18" s="12" t="s">
        <v>7</v>
      </c>
      <c r="C18" s="12"/>
      <c r="G18" s="17">
        <v>6</v>
      </c>
      <c r="H18" s="17">
        <v>5</v>
      </c>
      <c r="I18" s="17">
        <v>7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Q18" s="17">
        <v>6</v>
      </c>
      <c r="R18" s="17">
        <v>5</v>
      </c>
      <c r="S18" s="17">
        <v>7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</row>
    <row r="21" spans="2:25" x14ac:dyDescent="0.25">
      <c r="Q21" s="10" t="s">
        <v>13</v>
      </c>
      <c r="R21" s="10" t="s">
        <v>14</v>
      </c>
      <c r="S21" s="10" t="s">
        <v>15</v>
      </c>
      <c r="T21" s="10" t="s">
        <v>9</v>
      </c>
      <c r="U21" s="10" t="s">
        <v>10</v>
      </c>
      <c r="V21" s="10" t="s">
        <v>11</v>
      </c>
      <c r="W21" s="10" t="s">
        <v>12</v>
      </c>
      <c r="X21" s="10" t="s">
        <v>31</v>
      </c>
      <c r="Y21" s="10" t="s">
        <v>16</v>
      </c>
    </row>
    <row r="22" spans="2:25" x14ac:dyDescent="0.25">
      <c r="G22" t="s">
        <v>17</v>
      </c>
      <c r="H22" s="19">
        <f>O13/G13</f>
        <v>10</v>
      </c>
      <c r="J22">
        <f>O15/G15</f>
        <v>80</v>
      </c>
      <c r="K22" s="20">
        <f>O16/H16</f>
        <v>16.666666666666668</v>
      </c>
      <c r="M22">
        <f>K22*G18</f>
        <v>100</v>
      </c>
      <c r="Q22" s="10">
        <v>6</v>
      </c>
      <c r="R22" s="10">
        <v>1</v>
      </c>
      <c r="S22" s="10">
        <v>0</v>
      </c>
      <c r="T22" s="10">
        <v>1</v>
      </c>
      <c r="U22" s="10">
        <v>0</v>
      </c>
      <c r="V22" s="10">
        <v>0</v>
      </c>
      <c r="W22" s="10">
        <v>0</v>
      </c>
      <c r="X22" s="10">
        <v>0</v>
      </c>
      <c r="Y22" s="10">
        <v>60</v>
      </c>
    </row>
    <row r="23" spans="2:25" x14ac:dyDescent="0.25">
      <c r="G23" t="s">
        <v>18</v>
      </c>
      <c r="I23" s="20">
        <f>O14/I14</f>
        <v>20</v>
      </c>
      <c r="J23" s="19">
        <f>O15/H15</f>
        <v>16</v>
      </c>
      <c r="K23">
        <f>O16/H16</f>
        <v>16.666666666666668</v>
      </c>
      <c r="M23" s="20">
        <f>I23*H18</f>
        <v>100</v>
      </c>
      <c r="N23" s="20"/>
      <c r="Q23" s="10">
        <v>0.75</v>
      </c>
      <c r="R23" s="10">
        <f t="shared" ref="R23" si="1">H23/4</f>
        <v>0</v>
      </c>
      <c r="S23" s="18">
        <v>1</v>
      </c>
      <c r="T23" s="10">
        <v>0</v>
      </c>
      <c r="U23" s="10">
        <v>0.25</v>
      </c>
      <c r="V23" s="10">
        <v>0</v>
      </c>
      <c r="W23" s="10">
        <v>0</v>
      </c>
      <c r="X23" s="10">
        <v>0</v>
      </c>
      <c r="Y23" s="10">
        <v>20</v>
      </c>
    </row>
    <row r="24" spans="2:25" x14ac:dyDescent="0.25">
      <c r="G24" t="s">
        <v>19</v>
      </c>
      <c r="H24">
        <f>O13/J13</f>
        <v>60</v>
      </c>
      <c r="I24" s="19">
        <f>O14/I14</f>
        <v>20</v>
      </c>
      <c r="J24">
        <f>O15/I15</f>
        <v>80</v>
      </c>
      <c r="M24" s="21">
        <f>I24*I18</f>
        <v>140</v>
      </c>
      <c r="N24" s="21"/>
      <c r="Q24" s="10">
        <f t="shared" ref="Q24:R24" si="2">Q15-Q14</f>
        <v>0.25</v>
      </c>
      <c r="R24" s="10">
        <f t="shared" si="2"/>
        <v>5</v>
      </c>
      <c r="S24" s="10">
        <f>S15-S14</f>
        <v>0</v>
      </c>
      <c r="T24" s="10">
        <f t="shared" ref="T24:Y24" si="3">T15-T14</f>
        <v>0</v>
      </c>
      <c r="U24" s="10">
        <f t="shared" si="3"/>
        <v>-0.25</v>
      </c>
      <c r="V24" s="10">
        <f t="shared" si="3"/>
        <v>1</v>
      </c>
      <c r="W24" s="10">
        <f t="shared" si="3"/>
        <v>0</v>
      </c>
      <c r="X24" s="10">
        <f t="shared" si="3"/>
        <v>0</v>
      </c>
      <c r="Y24" s="10">
        <f t="shared" si="3"/>
        <v>60</v>
      </c>
    </row>
    <row r="25" spans="2:25" x14ac:dyDescent="0.25">
      <c r="Q25" s="10">
        <f t="shared" ref="Q25:R25" si="4">Q16-Q14*4</f>
        <v>-3</v>
      </c>
      <c r="R25" s="10">
        <f t="shared" si="4"/>
        <v>3</v>
      </c>
      <c r="S25" s="10">
        <f>S16-S14*4</f>
        <v>0</v>
      </c>
      <c r="T25" s="10">
        <f t="shared" ref="T25:Y25" si="5">T16-T14*4</f>
        <v>0</v>
      </c>
      <c r="U25" s="10">
        <f t="shared" si="5"/>
        <v>-1</v>
      </c>
      <c r="V25" s="10">
        <f t="shared" si="5"/>
        <v>0</v>
      </c>
      <c r="W25" s="10">
        <f t="shared" si="5"/>
        <v>1</v>
      </c>
      <c r="X25" s="10">
        <f t="shared" si="5"/>
        <v>0</v>
      </c>
      <c r="Y25" s="10">
        <f t="shared" si="5"/>
        <v>-30</v>
      </c>
    </row>
    <row r="26" spans="2:25" x14ac:dyDescent="0.25">
      <c r="Q26" s="10">
        <f t="shared" ref="Q26:R26" si="6">Q17-Q14*2</f>
        <v>0.5</v>
      </c>
      <c r="R26" s="10">
        <f t="shared" si="6"/>
        <v>3</v>
      </c>
      <c r="S26" s="10">
        <f>S17-S14*2</f>
        <v>0</v>
      </c>
      <c r="T26" s="10">
        <f t="shared" ref="T26:Y26" si="7">T17-T14*2</f>
        <v>0</v>
      </c>
      <c r="U26" s="10">
        <f t="shared" si="7"/>
        <v>-0.5</v>
      </c>
      <c r="V26" s="10">
        <f t="shared" si="7"/>
        <v>0</v>
      </c>
      <c r="W26" s="10">
        <f t="shared" si="7"/>
        <v>0</v>
      </c>
      <c r="X26" s="10">
        <f t="shared" si="7"/>
        <v>1</v>
      </c>
      <c r="Y26" s="10">
        <f t="shared" si="7"/>
        <v>16</v>
      </c>
    </row>
    <row r="27" spans="2:25" x14ac:dyDescent="0.25">
      <c r="Q27" s="17">
        <f>Q18-Q14*7</f>
        <v>0.75</v>
      </c>
      <c r="R27" s="17">
        <f>R18-R14*7</f>
        <v>5</v>
      </c>
      <c r="S27" s="17">
        <f>S18-S14*7</f>
        <v>0</v>
      </c>
      <c r="T27" s="17">
        <f t="shared" ref="T27:X27" si="8">T18-T14*7</f>
        <v>0</v>
      </c>
      <c r="U27" s="17">
        <f t="shared" si="8"/>
        <v>-1.75</v>
      </c>
      <c r="V27" s="17">
        <f t="shared" si="8"/>
        <v>0</v>
      </c>
      <c r="W27" s="17">
        <f t="shared" si="8"/>
        <v>0</v>
      </c>
      <c r="X27" s="17">
        <f t="shared" si="8"/>
        <v>0</v>
      </c>
    </row>
    <row r="29" spans="2:25" x14ac:dyDescent="0.25">
      <c r="Q29" s="10" t="s">
        <v>13</v>
      </c>
      <c r="R29" s="10" t="s">
        <v>14</v>
      </c>
      <c r="S29" s="10" t="s">
        <v>15</v>
      </c>
      <c r="T29" s="10" t="s">
        <v>9</v>
      </c>
      <c r="U29" s="10" t="s">
        <v>10</v>
      </c>
      <c r="V29" s="10" t="s">
        <v>11</v>
      </c>
      <c r="W29" s="10" t="s">
        <v>12</v>
      </c>
      <c r="X29" s="10" t="s">
        <v>31</v>
      </c>
      <c r="Y29" s="10" t="s">
        <v>16</v>
      </c>
    </row>
    <row r="30" spans="2:25" x14ac:dyDescent="0.25">
      <c r="Q30" s="18">
        <v>6</v>
      </c>
      <c r="R30" s="10">
        <v>1</v>
      </c>
      <c r="S30" s="10">
        <v>0</v>
      </c>
      <c r="T30" s="10">
        <v>1</v>
      </c>
      <c r="U30" s="10">
        <v>0</v>
      </c>
      <c r="V30" s="10">
        <v>0</v>
      </c>
      <c r="W30" s="10">
        <v>0</v>
      </c>
      <c r="X30" s="10">
        <v>0</v>
      </c>
      <c r="Y30" s="10">
        <v>60</v>
      </c>
    </row>
    <row r="31" spans="2:25" x14ac:dyDescent="0.25">
      <c r="Q31" s="10">
        <v>0.75</v>
      </c>
      <c r="R31" s="10">
        <v>0</v>
      </c>
      <c r="S31" s="10">
        <v>1</v>
      </c>
      <c r="T31" s="10">
        <v>0</v>
      </c>
      <c r="U31" s="10">
        <v>0.25</v>
      </c>
      <c r="V31" s="10">
        <v>0</v>
      </c>
      <c r="W31" s="10">
        <v>0</v>
      </c>
      <c r="X31" s="10">
        <v>0</v>
      </c>
      <c r="Y31" s="10">
        <v>20</v>
      </c>
    </row>
    <row r="32" spans="2:25" x14ac:dyDescent="0.25">
      <c r="Q32" s="10">
        <v>0.25</v>
      </c>
      <c r="R32" s="10">
        <v>5</v>
      </c>
      <c r="S32" s="10">
        <v>0</v>
      </c>
      <c r="T32" s="10">
        <v>0</v>
      </c>
      <c r="U32" s="10">
        <v>-0.25</v>
      </c>
      <c r="V32" s="10">
        <v>1</v>
      </c>
      <c r="W32" s="10">
        <v>0</v>
      </c>
      <c r="X32" s="10">
        <v>0</v>
      </c>
      <c r="Y32" s="10">
        <v>60</v>
      </c>
    </row>
    <row r="33" spans="17:25" x14ac:dyDescent="0.25">
      <c r="Q33" s="17">
        <v>-3</v>
      </c>
      <c r="R33" s="10">
        <v>3</v>
      </c>
      <c r="S33" s="10">
        <v>0</v>
      </c>
      <c r="T33" s="10">
        <v>0</v>
      </c>
      <c r="U33" s="10">
        <v>-1</v>
      </c>
      <c r="V33" s="10">
        <v>0</v>
      </c>
      <c r="W33" s="10">
        <v>1</v>
      </c>
      <c r="X33" s="10">
        <v>0</v>
      </c>
      <c r="Y33" s="10">
        <v>-30</v>
      </c>
    </row>
    <row r="34" spans="17:25" x14ac:dyDescent="0.25">
      <c r="Q34" s="10">
        <v>0.5</v>
      </c>
      <c r="R34" s="10">
        <v>3</v>
      </c>
      <c r="S34" s="10">
        <v>0</v>
      </c>
      <c r="T34" s="10">
        <v>0</v>
      </c>
      <c r="U34" s="10">
        <v>-0.5</v>
      </c>
      <c r="V34" s="10">
        <v>0</v>
      </c>
      <c r="W34" s="10">
        <v>0</v>
      </c>
      <c r="X34" s="10">
        <v>1</v>
      </c>
      <c r="Y34" s="10">
        <v>16</v>
      </c>
    </row>
    <row r="35" spans="17:25" x14ac:dyDescent="0.25">
      <c r="Q35" s="25">
        <v>0.75</v>
      </c>
      <c r="R35" s="25">
        <v>5</v>
      </c>
      <c r="S35" s="25">
        <v>0</v>
      </c>
      <c r="T35" s="25">
        <v>0</v>
      </c>
      <c r="U35" s="25">
        <v>-1.75</v>
      </c>
      <c r="V35" s="25">
        <v>0</v>
      </c>
      <c r="W35" s="25">
        <v>0</v>
      </c>
      <c r="X35" s="25">
        <v>0</v>
      </c>
    </row>
    <row r="37" spans="17:25" x14ac:dyDescent="0.25">
      <c r="Q37" s="23">
        <f>Y30/Q30</f>
        <v>10</v>
      </c>
    </row>
    <row r="38" spans="17:25" x14ac:dyDescent="0.25">
      <c r="Q38" s="24">
        <f>Y31/Q31</f>
        <v>26.666666666666668</v>
      </c>
    </row>
    <row r="39" spans="17:25" x14ac:dyDescent="0.25">
      <c r="Q39" s="24">
        <f>Y32/Q32</f>
        <v>240</v>
      </c>
    </row>
    <row r="40" spans="17:25" x14ac:dyDescent="0.25">
      <c r="Q40" s="25">
        <f>Y34/Q34</f>
        <v>32</v>
      </c>
    </row>
    <row r="42" spans="17:25" x14ac:dyDescent="0.25">
      <c r="Q42" s="10" t="s">
        <v>13</v>
      </c>
      <c r="R42" s="10" t="s">
        <v>14</v>
      </c>
      <c r="S42" s="10" t="s">
        <v>15</v>
      </c>
      <c r="T42" s="10" t="s">
        <v>9</v>
      </c>
      <c r="U42" s="10" t="s">
        <v>10</v>
      </c>
      <c r="V42" s="10" t="s">
        <v>11</v>
      </c>
      <c r="W42" s="10" t="s">
        <v>12</v>
      </c>
      <c r="X42" s="10" t="s">
        <v>31</v>
      </c>
      <c r="Y42" s="10" t="s">
        <v>16</v>
      </c>
    </row>
    <row r="43" spans="17:25" x14ac:dyDescent="0.25">
      <c r="Q43" s="18">
        <f>Q30/6</f>
        <v>1</v>
      </c>
      <c r="R43" s="17">
        <f t="shared" ref="R43:X43" si="9">R30/6</f>
        <v>0.16666666666666666</v>
      </c>
      <c r="S43" s="17">
        <f t="shared" si="9"/>
        <v>0</v>
      </c>
      <c r="T43" s="17">
        <f t="shared" si="9"/>
        <v>0.16666666666666666</v>
      </c>
      <c r="U43" s="17">
        <f t="shared" si="9"/>
        <v>0</v>
      </c>
      <c r="V43" s="17">
        <f t="shared" si="9"/>
        <v>0</v>
      </c>
      <c r="W43" s="17">
        <f t="shared" si="9"/>
        <v>0</v>
      </c>
      <c r="X43" s="17">
        <f t="shared" si="9"/>
        <v>0</v>
      </c>
      <c r="Y43" s="17">
        <f>Y30/6</f>
        <v>10</v>
      </c>
    </row>
    <row r="44" spans="17:25" x14ac:dyDescent="0.25">
      <c r="Q44" s="10">
        <v>0.75</v>
      </c>
      <c r="R44" s="10">
        <v>0</v>
      </c>
      <c r="S44" s="10">
        <v>1</v>
      </c>
      <c r="T44" s="10">
        <v>0</v>
      </c>
      <c r="U44" s="10">
        <v>0.25</v>
      </c>
      <c r="V44" s="10">
        <v>0</v>
      </c>
      <c r="W44" s="10">
        <v>0</v>
      </c>
      <c r="X44" s="10">
        <v>0</v>
      </c>
      <c r="Y44" s="10">
        <v>20</v>
      </c>
    </row>
    <row r="45" spans="17:25" x14ac:dyDescent="0.25">
      <c r="Q45" s="17">
        <v>0.25</v>
      </c>
      <c r="R45" s="10">
        <v>5</v>
      </c>
      <c r="S45" s="10">
        <v>0</v>
      </c>
      <c r="T45" s="10">
        <v>0</v>
      </c>
      <c r="U45" s="10">
        <v>-0.25</v>
      </c>
      <c r="V45" s="10">
        <v>1</v>
      </c>
      <c r="W45" s="10">
        <v>0</v>
      </c>
      <c r="X45" s="10">
        <v>0</v>
      </c>
      <c r="Y45" s="10">
        <v>60</v>
      </c>
    </row>
    <row r="46" spans="17:25" x14ac:dyDescent="0.25">
      <c r="Q46" s="10">
        <v>-3</v>
      </c>
      <c r="R46" s="10">
        <v>3</v>
      </c>
      <c r="S46" s="10">
        <v>0</v>
      </c>
      <c r="T46" s="10">
        <v>0</v>
      </c>
      <c r="U46" s="10">
        <v>-1</v>
      </c>
      <c r="V46" s="10">
        <v>0</v>
      </c>
      <c r="W46" s="10">
        <v>1</v>
      </c>
      <c r="X46" s="10">
        <v>0</v>
      </c>
      <c r="Y46" s="10">
        <v>-30</v>
      </c>
    </row>
    <row r="47" spans="17:25" x14ac:dyDescent="0.25">
      <c r="Q47" s="10">
        <v>0.5</v>
      </c>
      <c r="R47" s="10">
        <v>3</v>
      </c>
      <c r="S47" s="10">
        <v>0</v>
      </c>
      <c r="T47" s="10">
        <v>0</v>
      </c>
      <c r="U47" s="10">
        <v>-0.5</v>
      </c>
      <c r="V47" s="10">
        <v>0</v>
      </c>
      <c r="W47" s="10">
        <v>0</v>
      </c>
      <c r="X47" s="10">
        <v>1</v>
      </c>
      <c r="Y47" s="10">
        <v>16</v>
      </c>
    </row>
    <row r="48" spans="17:25" x14ac:dyDescent="0.25">
      <c r="Q48" s="10">
        <v>0.75</v>
      </c>
      <c r="R48" s="10">
        <v>5</v>
      </c>
      <c r="S48" s="10">
        <v>0</v>
      </c>
      <c r="T48" s="10">
        <v>0</v>
      </c>
      <c r="U48" s="10">
        <v>-1.75</v>
      </c>
      <c r="V48" s="10">
        <v>0</v>
      </c>
      <c r="W48" s="10">
        <v>0</v>
      </c>
      <c r="X48" s="10">
        <v>0</v>
      </c>
    </row>
    <row r="51" spans="17:25" x14ac:dyDescent="0.25">
      <c r="Q51" s="10" t="s">
        <v>13</v>
      </c>
      <c r="R51" s="10" t="s">
        <v>14</v>
      </c>
      <c r="S51" s="10" t="s">
        <v>15</v>
      </c>
      <c r="T51" s="10" t="s">
        <v>9</v>
      </c>
      <c r="U51" s="10" t="s">
        <v>10</v>
      </c>
      <c r="V51" s="10" t="s">
        <v>11</v>
      </c>
      <c r="W51" s="10" t="s">
        <v>12</v>
      </c>
      <c r="X51" s="10" t="s">
        <v>31</v>
      </c>
      <c r="Y51" s="10" t="s">
        <v>16</v>
      </c>
    </row>
    <row r="52" spans="17:25" x14ac:dyDescent="0.25">
      <c r="Q52" s="18">
        <v>1</v>
      </c>
      <c r="R52" s="10">
        <v>0.16666666666666666</v>
      </c>
      <c r="S52" s="10">
        <v>0</v>
      </c>
      <c r="T52" s="10">
        <v>0.16666666666666666</v>
      </c>
      <c r="U52" s="10">
        <v>0</v>
      </c>
      <c r="V52" s="10">
        <v>0</v>
      </c>
      <c r="W52" s="10">
        <v>0</v>
      </c>
      <c r="X52" s="10">
        <v>0</v>
      </c>
      <c r="Y52" s="10">
        <v>10</v>
      </c>
    </row>
    <row r="53" spans="17:25" x14ac:dyDescent="0.25">
      <c r="Q53" s="10">
        <f>Q44-Q43*0.75</f>
        <v>0</v>
      </c>
      <c r="R53" s="10">
        <f t="shared" ref="R53:Y53" si="10">R44-R43*0.75</f>
        <v>-0.125</v>
      </c>
      <c r="S53" s="10">
        <f t="shared" si="10"/>
        <v>1</v>
      </c>
      <c r="T53" s="10">
        <f t="shared" si="10"/>
        <v>-0.125</v>
      </c>
      <c r="U53" s="10">
        <f t="shared" si="10"/>
        <v>0.25</v>
      </c>
      <c r="V53" s="10">
        <f t="shared" si="10"/>
        <v>0</v>
      </c>
      <c r="W53" s="10">
        <f t="shared" si="10"/>
        <v>0</v>
      </c>
      <c r="X53" s="10">
        <f t="shared" si="10"/>
        <v>0</v>
      </c>
      <c r="Y53" s="10">
        <f t="shared" si="10"/>
        <v>12.5</v>
      </c>
    </row>
    <row r="54" spans="17:25" x14ac:dyDescent="0.25">
      <c r="Q54" s="10">
        <f>Q45-Q43*0.25</f>
        <v>0</v>
      </c>
      <c r="R54" s="10">
        <f t="shared" ref="R54:Y54" si="11">R45-R43*0.25</f>
        <v>4.958333333333333</v>
      </c>
      <c r="S54" s="10">
        <f t="shared" si="11"/>
        <v>0</v>
      </c>
      <c r="T54" s="10">
        <f t="shared" si="11"/>
        <v>-4.1666666666666664E-2</v>
      </c>
      <c r="U54" s="10">
        <f t="shared" si="11"/>
        <v>-0.25</v>
      </c>
      <c r="V54" s="10">
        <f t="shared" si="11"/>
        <v>1</v>
      </c>
      <c r="W54" s="10">
        <f t="shared" si="11"/>
        <v>0</v>
      </c>
      <c r="X54" s="10">
        <f t="shared" si="11"/>
        <v>0</v>
      </c>
      <c r="Y54" s="10">
        <f t="shared" si="11"/>
        <v>57.5</v>
      </c>
    </row>
    <row r="55" spans="17:25" x14ac:dyDescent="0.25">
      <c r="Q55" s="17">
        <f>Q46-Q43*-3</f>
        <v>0</v>
      </c>
      <c r="R55" s="17">
        <f>R46-R43*-3</f>
        <v>3.5</v>
      </c>
      <c r="S55" s="17">
        <f t="shared" ref="S55:Y55" si="12">S46-S43*-3</f>
        <v>0</v>
      </c>
      <c r="T55" s="17">
        <f t="shared" si="12"/>
        <v>0.5</v>
      </c>
      <c r="U55" s="17">
        <f t="shared" si="12"/>
        <v>-1</v>
      </c>
      <c r="V55" s="17">
        <f t="shared" si="12"/>
        <v>0</v>
      </c>
      <c r="W55" s="17">
        <f t="shared" si="12"/>
        <v>1</v>
      </c>
      <c r="X55" s="17">
        <f t="shared" si="12"/>
        <v>0</v>
      </c>
      <c r="Y55" s="17">
        <f t="shared" si="12"/>
        <v>0</v>
      </c>
    </row>
    <row r="56" spans="17:25" x14ac:dyDescent="0.25">
      <c r="Q56" s="10">
        <f>Q47-Q43*0.5</f>
        <v>0</v>
      </c>
      <c r="R56" s="10">
        <f t="shared" ref="R56:Y56" si="13">R47-R43*0.5</f>
        <v>2.9166666666666665</v>
      </c>
      <c r="S56" s="10">
        <f t="shared" si="13"/>
        <v>0</v>
      </c>
      <c r="T56" s="10">
        <f t="shared" si="13"/>
        <v>-8.3333333333333329E-2</v>
      </c>
      <c r="U56" s="10">
        <f t="shared" si="13"/>
        <v>-0.5</v>
      </c>
      <c r="V56" s="10">
        <f t="shared" si="13"/>
        <v>0</v>
      </c>
      <c r="W56" s="10">
        <f t="shared" si="13"/>
        <v>0</v>
      </c>
      <c r="X56" s="10">
        <f t="shared" si="13"/>
        <v>1</v>
      </c>
      <c r="Y56" s="10">
        <f t="shared" si="13"/>
        <v>11</v>
      </c>
    </row>
    <row r="57" spans="17:25" x14ac:dyDescent="0.25">
      <c r="Q57" s="10">
        <f>Q48-Q43*0.75</f>
        <v>0</v>
      </c>
      <c r="R57" s="10">
        <f t="shared" ref="R57:X57" si="14">R48-R43*0.75</f>
        <v>4.875</v>
      </c>
      <c r="S57" s="10">
        <f t="shared" si="14"/>
        <v>0</v>
      </c>
      <c r="T57" s="10">
        <f t="shared" si="14"/>
        <v>-0.125</v>
      </c>
      <c r="U57" s="10">
        <f t="shared" si="14"/>
        <v>-1.75</v>
      </c>
      <c r="V57" s="10">
        <f t="shared" si="14"/>
        <v>0</v>
      </c>
      <c r="W57" s="10">
        <f t="shared" si="14"/>
        <v>0</v>
      </c>
      <c r="X57" s="10">
        <f t="shared" si="14"/>
        <v>0</v>
      </c>
    </row>
    <row r="58" spans="17:25" x14ac:dyDescent="0.25">
      <c r="Q58" s="22"/>
      <c r="R58" s="22"/>
      <c r="S58" s="22"/>
      <c r="T58" s="22"/>
      <c r="U58" s="22"/>
      <c r="V58" s="22"/>
      <c r="W58" s="22"/>
      <c r="X58" s="22"/>
      <c r="Y58" s="22"/>
    </row>
    <row r="59" spans="17:25" x14ac:dyDescent="0.25">
      <c r="Q59" s="10" t="s">
        <v>13</v>
      </c>
      <c r="R59" s="10" t="s">
        <v>14</v>
      </c>
      <c r="S59" s="10" t="s">
        <v>15</v>
      </c>
      <c r="T59" s="10" t="s">
        <v>9</v>
      </c>
      <c r="U59" s="10" t="s">
        <v>10</v>
      </c>
      <c r="V59" s="10" t="s">
        <v>11</v>
      </c>
      <c r="W59" s="10" t="s">
        <v>12</v>
      </c>
      <c r="X59" s="10" t="s">
        <v>31</v>
      </c>
      <c r="Y59" s="10" t="s">
        <v>16</v>
      </c>
    </row>
    <row r="60" spans="17:25" x14ac:dyDescent="0.25">
      <c r="Q60" s="10">
        <v>1</v>
      </c>
      <c r="R60" s="10">
        <v>0.16666666666666666</v>
      </c>
      <c r="S60" s="10">
        <v>0</v>
      </c>
      <c r="T60" s="10">
        <v>0.16666666666666666</v>
      </c>
      <c r="U60" s="10">
        <v>0</v>
      </c>
      <c r="V60" s="10">
        <v>0</v>
      </c>
      <c r="W60" s="10">
        <v>0</v>
      </c>
      <c r="X60" s="10">
        <v>0</v>
      </c>
      <c r="Y60" s="10">
        <v>10</v>
      </c>
    </row>
    <row r="61" spans="17:25" x14ac:dyDescent="0.25">
      <c r="Q61" s="10">
        <v>0</v>
      </c>
      <c r="R61" s="10">
        <v>-0.125</v>
      </c>
      <c r="S61" s="10">
        <v>1</v>
      </c>
      <c r="T61" s="10">
        <v>-0.125</v>
      </c>
      <c r="U61" s="10">
        <v>0.25</v>
      </c>
      <c r="V61" s="10">
        <v>0</v>
      </c>
      <c r="W61" s="10">
        <v>0</v>
      </c>
      <c r="X61" s="10">
        <v>0</v>
      </c>
      <c r="Y61" s="10">
        <v>12.5</v>
      </c>
    </row>
    <row r="62" spans="17:25" x14ac:dyDescent="0.25">
      <c r="Q62" s="10">
        <v>0</v>
      </c>
      <c r="R62" s="10">
        <v>4.958333333333333</v>
      </c>
      <c r="S62" s="10">
        <v>0</v>
      </c>
      <c r="T62" s="10">
        <v>-4.1666666666666664E-2</v>
      </c>
      <c r="U62" s="10">
        <v>-0.25</v>
      </c>
      <c r="V62" s="10">
        <v>1</v>
      </c>
      <c r="W62" s="10">
        <v>0</v>
      </c>
      <c r="X62" s="10">
        <v>0</v>
      </c>
      <c r="Y62" s="10">
        <v>57.5</v>
      </c>
    </row>
    <row r="63" spans="17:25" x14ac:dyDescent="0.25">
      <c r="Q63" s="10">
        <v>0</v>
      </c>
      <c r="R63" s="18">
        <v>3.5</v>
      </c>
      <c r="S63" s="10">
        <v>0</v>
      </c>
      <c r="T63" s="10">
        <v>0.5</v>
      </c>
      <c r="U63" s="10">
        <v>-1</v>
      </c>
      <c r="V63" s="10">
        <v>0</v>
      </c>
      <c r="W63" s="10">
        <v>1</v>
      </c>
      <c r="X63" s="10">
        <v>0</v>
      </c>
      <c r="Y63" s="10">
        <v>0</v>
      </c>
    </row>
    <row r="64" spans="17:25" x14ac:dyDescent="0.25">
      <c r="Q64" s="10">
        <v>0</v>
      </c>
      <c r="R64" s="10">
        <v>2.9166666666666665</v>
      </c>
      <c r="S64" s="10">
        <v>0</v>
      </c>
      <c r="T64" s="10">
        <v>-8.3333333333333329E-2</v>
      </c>
      <c r="U64" s="10">
        <v>-0.5</v>
      </c>
      <c r="V64" s="10">
        <v>0</v>
      </c>
      <c r="W64" s="10">
        <v>0</v>
      </c>
      <c r="X64" s="10">
        <v>1</v>
      </c>
      <c r="Y64" s="10">
        <v>11</v>
      </c>
    </row>
    <row r="65" spans="16:26" x14ac:dyDescent="0.25">
      <c r="Q65" s="10">
        <v>0</v>
      </c>
      <c r="R65" s="10">
        <v>4.875</v>
      </c>
      <c r="S65" s="10">
        <v>0</v>
      </c>
      <c r="T65" s="10">
        <v>-0.125</v>
      </c>
      <c r="U65" s="10">
        <v>-1.75</v>
      </c>
      <c r="V65" s="10">
        <v>0</v>
      </c>
      <c r="W65" s="10">
        <v>0</v>
      </c>
      <c r="X65" s="10">
        <v>0</v>
      </c>
      <c r="Y65" s="10"/>
    </row>
    <row r="67" spans="16:26" x14ac:dyDescent="0.25">
      <c r="Q67" s="26">
        <f>Y60/R60</f>
        <v>60</v>
      </c>
    </row>
    <row r="68" spans="16:26" x14ac:dyDescent="0.25">
      <c r="Q68" s="24">
        <f>Y62/R62</f>
        <v>11.596638655462186</v>
      </c>
    </row>
    <row r="69" spans="16:26" x14ac:dyDescent="0.25">
      <c r="Q69" s="29">
        <f>Y63/R63</f>
        <v>0</v>
      </c>
    </row>
    <row r="70" spans="16:26" x14ac:dyDescent="0.25">
      <c r="Q70" s="25">
        <f>Y64/R64</f>
        <v>3.7714285714285718</v>
      </c>
    </row>
    <row r="72" spans="16:26" x14ac:dyDescent="0.25">
      <c r="Q72" s="10" t="s">
        <v>13</v>
      </c>
      <c r="R72" s="10" t="s">
        <v>14</v>
      </c>
      <c r="S72" s="10" t="s">
        <v>15</v>
      </c>
      <c r="T72" s="10" t="s">
        <v>9</v>
      </c>
      <c r="U72" s="10" t="s">
        <v>10</v>
      </c>
      <c r="V72" s="10" t="s">
        <v>11</v>
      </c>
      <c r="W72" s="10" t="s">
        <v>12</v>
      </c>
      <c r="X72" s="10" t="s">
        <v>31</v>
      </c>
      <c r="Y72" s="10" t="s">
        <v>16</v>
      </c>
    </row>
    <row r="73" spans="16:26" x14ac:dyDescent="0.25">
      <c r="Q73" s="10">
        <v>1</v>
      </c>
      <c r="R73" s="10">
        <v>0.16666666666666666</v>
      </c>
      <c r="S73" s="10">
        <v>0</v>
      </c>
      <c r="T73" s="10">
        <v>0.16666666666666666</v>
      </c>
      <c r="U73" s="10">
        <v>0</v>
      </c>
      <c r="V73" s="10">
        <v>0</v>
      </c>
      <c r="W73" s="10">
        <v>0</v>
      </c>
      <c r="X73" s="10">
        <v>0</v>
      </c>
      <c r="Y73" s="10">
        <v>10</v>
      </c>
    </row>
    <row r="74" spans="16:26" x14ac:dyDescent="0.25">
      <c r="Q74" s="10">
        <v>0</v>
      </c>
      <c r="R74" s="10">
        <v>-0.125</v>
      </c>
      <c r="S74" s="10">
        <v>1</v>
      </c>
      <c r="T74" s="10">
        <v>-0.125</v>
      </c>
      <c r="U74" s="10">
        <v>0.25</v>
      </c>
      <c r="V74" s="10">
        <v>0</v>
      </c>
      <c r="W74" s="10">
        <v>0</v>
      </c>
      <c r="X74" s="10">
        <v>0</v>
      </c>
      <c r="Y74" s="10">
        <v>12.5</v>
      </c>
    </row>
    <row r="75" spans="16:26" x14ac:dyDescent="0.25">
      <c r="Q75" s="10">
        <v>0</v>
      </c>
      <c r="R75" s="10">
        <v>4.958333333333333</v>
      </c>
      <c r="S75" s="10">
        <v>0</v>
      </c>
      <c r="T75" s="10">
        <v>-4.1666666666666664E-2</v>
      </c>
      <c r="U75" s="10">
        <v>-0.25</v>
      </c>
      <c r="V75" s="10">
        <v>1</v>
      </c>
      <c r="W75" s="10">
        <v>0</v>
      </c>
      <c r="X75" s="10">
        <v>0</v>
      </c>
      <c r="Y75" s="10">
        <v>57.5</v>
      </c>
    </row>
    <row r="76" spans="16:26" x14ac:dyDescent="0.25">
      <c r="Q76" s="17">
        <f>Q63/3.5</f>
        <v>0</v>
      </c>
      <c r="R76" s="18">
        <f>R63/3.5</f>
        <v>1</v>
      </c>
      <c r="S76" s="17">
        <f t="shared" ref="S76:Y76" si="15">S63/3.5</f>
        <v>0</v>
      </c>
      <c r="T76" s="17">
        <f t="shared" si="15"/>
        <v>0.14285714285714285</v>
      </c>
      <c r="U76" s="17">
        <f t="shared" si="15"/>
        <v>-0.2857142857142857</v>
      </c>
      <c r="V76" s="17">
        <f t="shared" si="15"/>
        <v>0</v>
      </c>
      <c r="W76" s="17">
        <f t="shared" si="15"/>
        <v>0.2857142857142857</v>
      </c>
      <c r="X76" s="17">
        <f t="shared" si="15"/>
        <v>0</v>
      </c>
      <c r="Y76" s="17">
        <f t="shared" si="15"/>
        <v>0</v>
      </c>
      <c r="Z76" s="20"/>
    </row>
    <row r="77" spans="16:26" x14ac:dyDescent="0.25">
      <c r="P77" s="27"/>
      <c r="Q77" s="17">
        <v>0</v>
      </c>
      <c r="R77" s="17">
        <v>2.9166666666666665</v>
      </c>
      <c r="S77" s="17">
        <v>0</v>
      </c>
      <c r="T77" s="17">
        <v>-8.3333333333333329E-2</v>
      </c>
      <c r="U77" s="17">
        <v>-0.5</v>
      </c>
      <c r="V77" s="17">
        <v>0</v>
      </c>
      <c r="W77" s="17">
        <v>0</v>
      </c>
      <c r="X77" s="17">
        <v>1</v>
      </c>
      <c r="Y77" s="10">
        <v>11</v>
      </c>
    </row>
    <row r="78" spans="16:26" x14ac:dyDescent="0.25">
      <c r="P78" s="27"/>
      <c r="Q78" s="17">
        <v>0</v>
      </c>
      <c r="R78" s="17">
        <v>4.875</v>
      </c>
      <c r="S78" s="17">
        <v>0</v>
      </c>
      <c r="T78" s="17">
        <v>-0.125</v>
      </c>
      <c r="U78" s="17">
        <v>-1.75</v>
      </c>
      <c r="V78" s="17">
        <v>0</v>
      </c>
      <c r="W78" s="17">
        <v>0</v>
      </c>
      <c r="X78" s="17">
        <v>0</v>
      </c>
      <c r="Y78" s="10"/>
    </row>
    <row r="79" spans="16:26" x14ac:dyDescent="0.25">
      <c r="P79" s="27"/>
      <c r="Q79" s="27"/>
      <c r="R79" s="27"/>
      <c r="S79" s="27"/>
      <c r="T79" s="27"/>
      <c r="U79" s="27"/>
      <c r="V79" s="27"/>
      <c r="W79" s="27"/>
      <c r="X79" s="27"/>
    </row>
    <row r="80" spans="16:26" x14ac:dyDescent="0.25">
      <c r="P80" s="27"/>
      <c r="Q80" s="17" t="s">
        <v>13</v>
      </c>
      <c r="R80" s="17" t="s">
        <v>14</v>
      </c>
      <c r="S80" s="17" t="s">
        <v>15</v>
      </c>
      <c r="T80" s="17" t="s">
        <v>9</v>
      </c>
      <c r="U80" s="17" t="s">
        <v>10</v>
      </c>
      <c r="V80" s="17" t="s">
        <v>11</v>
      </c>
      <c r="W80" s="17" t="s">
        <v>12</v>
      </c>
      <c r="X80" s="17" t="s">
        <v>31</v>
      </c>
      <c r="Y80" s="10" t="s">
        <v>16</v>
      </c>
    </row>
    <row r="81" spans="16:25" x14ac:dyDescent="0.25">
      <c r="P81" s="27"/>
      <c r="Q81" s="10">
        <v>1</v>
      </c>
      <c r="R81" s="17">
        <f>R73-R76*R73</f>
        <v>0</v>
      </c>
      <c r="S81" s="17">
        <v>0</v>
      </c>
      <c r="T81" s="17">
        <v>0.16666666666666666</v>
      </c>
      <c r="U81" s="17">
        <v>0</v>
      </c>
      <c r="V81" s="17">
        <v>0</v>
      </c>
      <c r="W81" s="17">
        <v>0</v>
      </c>
      <c r="X81" s="17">
        <v>0</v>
      </c>
      <c r="Y81" s="10">
        <v>10</v>
      </c>
    </row>
    <row r="82" spans="16:25" x14ac:dyDescent="0.25">
      <c r="P82" s="27"/>
      <c r="Q82" s="17">
        <v>0</v>
      </c>
      <c r="R82" s="17">
        <f>R74-R76*R74</f>
        <v>0</v>
      </c>
      <c r="S82" s="17">
        <v>1</v>
      </c>
      <c r="T82" s="17">
        <v>-0.125</v>
      </c>
      <c r="U82" s="17">
        <v>0.25</v>
      </c>
      <c r="V82" s="17">
        <v>0</v>
      </c>
      <c r="W82" s="17">
        <v>0</v>
      </c>
      <c r="X82" s="17">
        <v>0</v>
      </c>
      <c r="Y82" s="10">
        <v>12.5</v>
      </c>
    </row>
    <row r="83" spans="16:25" x14ac:dyDescent="0.25">
      <c r="P83" s="27"/>
      <c r="Q83" s="17">
        <v>0</v>
      </c>
      <c r="R83" s="17">
        <f>R75-R76*R75</f>
        <v>0</v>
      </c>
      <c r="S83" s="17">
        <v>0</v>
      </c>
      <c r="T83" s="17">
        <v>-4.1666666666666664E-2</v>
      </c>
      <c r="U83" s="17">
        <v>-0.25</v>
      </c>
      <c r="V83" s="17">
        <v>1</v>
      </c>
      <c r="W83" s="17">
        <v>0</v>
      </c>
      <c r="X83" s="17">
        <v>0</v>
      </c>
      <c r="Y83" s="10">
        <v>57.5</v>
      </c>
    </row>
    <row r="84" spans="16:25" x14ac:dyDescent="0.25">
      <c r="P84" s="27"/>
      <c r="Q84" s="17">
        <v>0</v>
      </c>
      <c r="R84" s="18">
        <v>1</v>
      </c>
      <c r="S84" s="17">
        <v>0</v>
      </c>
      <c r="T84" s="17">
        <v>0.14285714285714285</v>
      </c>
      <c r="U84" s="17">
        <v>-0.2857142857142857</v>
      </c>
      <c r="V84" s="17">
        <v>0</v>
      </c>
      <c r="W84" s="17">
        <v>0.2857142857142857</v>
      </c>
      <c r="X84" s="17">
        <v>0</v>
      </c>
      <c r="Y84" s="10">
        <v>0</v>
      </c>
    </row>
    <row r="85" spans="16:25" x14ac:dyDescent="0.25">
      <c r="P85" s="28"/>
      <c r="Q85" s="17">
        <v>0</v>
      </c>
      <c r="R85" s="17">
        <f>R77-R76*R77</f>
        <v>0</v>
      </c>
      <c r="S85" s="17">
        <v>0</v>
      </c>
      <c r="T85" s="17">
        <v>-8.3333333333333329E-2</v>
      </c>
      <c r="U85" s="17">
        <v>-0.5</v>
      </c>
      <c r="V85" s="17">
        <v>0</v>
      </c>
      <c r="W85" s="17">
        <v>0</v>
      </c>
      <c r="X85" s="17">
        <v>1</v>
      </c>
      <c r="Y85" s="10">
        <v>11</v>
      </c>
    </row>
    <row r="86" spans="16:25" x14ac:dyDescent="0.25">
      <c r="P86" s="27"/>
      <c r="Q86" s="17">
        <v>0</v>
      </c>
      <c r="R86" s="17">
        <f>R78-R76*R78</f>
        <v>0</v>
      </c>
      <c r="S86" s="17">
        <v>0</v>
      </c>
      <c r="T86" s="17">
        <v>-0.125</v>
      </c>
      <c r="U86" s="17">
        <v>-1.75</v>
      </c>
      <c r="V86" s="17">
        <v>0</v>
      </c>
      <c r="W86" s="17">
        <v>0</v>
      </c>
      <c r="X86" s="17">
        <v>0</v>
      </c>
      <c r="Y86" s="10"/>
    </row>
    <row r="87" spans="16:25" x14ac:dyDescent="0.25">
      <c r="P87" s="27"/>
      <c r="Q87" s="27"/>
      <c r="R87" s="27"/>
      <c r="S87" s="27"/>
      <c r="T87" s="27"/>
      <c r="U87" s="27"/>
      <c r="V87" s="27"/>
      <c r="W87" s="27"/>
      <c r="X87" s="27"/>
    </row>
    <row r="88" spans="16:25" x14ac:dyDescent="0.25">
      <c r="P88" s="11" t="s">
        <v>24</v>
      </c>
      <c r="Q88" s="10" t="s">
        <v>20</v>
      </c>
      <c r="R88" s="10">
        <f>Y81</f>
        <v>10</v>
      </c>
      <c r="S88" s="27"/>
      <c r="T88" s="27"/>
      <c r="U88" s="27"/>
      <c r="V88" s="27"/>
      <c r="W88" s="27"/>
      <c r="X88" s="27"/>
    </row>
    <row r="89" spans="16:25" x14ac:dyDescent="0.25">
      <c r="Q89" s="10" t="s">
        <v>21</v>
      </c>
      <c r="R89" s="10">
        <f>Y84</f>
        <v>0</v>
      </c>
      <c r="S89" s="27"/>
      <c r="T89" s="27"/>
      <c r="U89" s="27"/>
      <c r="V89" s="27"/>
      <c r="W89" s="27"/>
      <c r="X89" s="27"/>
    </row>
    <row r="90" spans="16:25" x14ac:dyDescent="0.25">
      <c r="Q90" s="10" t="s">
        <v>22</v>
      </c>
      <c r="R90" s="10">
        <f>Y82</f>
        <v>12.5</v>
      </c>
      <c r="S90" s="27"/>
      <c r="T90" s="27"/>
      <c r="U90" s="27"/>
      <c r="V90" s="27"/>
      <c r="W90" s="27"/>
      <c r="X90" s="27"/>
    </row>
    <row r="91" spans="16:25" x14ac:dyDescent="0.25">
      <c r="Q91" s="10" t="s">
        <v>23</v>
      </c>
      <c r="R91" s="10">
        <f>R88*G18+R89*H18+R90*I18</f>
        <v>147.5</v>
      </c>
      <c r="S91" s="27"/>
      <c r="T91" s="27"/>
      <c r="U91" s="27"/>
      <c r="V91" s="27"/>
      <c r="W91" s="27"/>
      <c r="X91" s="27"/>
    </row>
    <row r="92" spans="16:25" x14ac:dyDescent="0.25">
      <c r="P92" s="27"/>
      <c r="Q92" s="27"/>
      <c r="R92" s="27"/>
      <c r="S92" s="27"/>
      <c r="T92" s="27"/>
      <c r="U92" s="27"/>
      <c r="V92" s="27"/>
      <c r="W92" s="27"/>
      <c r="X92" s="27"/>
    </row>
    <row r="93" spans="16:25" x14ac:dyDescent="0.25">
      <c r="P93" s="27"/>
      <c r="Q93" s="27"/>
      <c r="R93" s="27"/>
      <c r="S93" s="27"/>
      <c r="T93" s="27"/>
      <c r="U93" s="27"/>
      <c r="V93" s="27"/>
      <c r="W93" s="27"/>
      <c r="X93" s="27"/>
    </row>
    <row r="94" spans="16:25" x14ac:dyDescent="0.25">
      <c r="P94" s="27"/>
      <c r="Q94" s="27"/>
      <c r="R94" s="27"/>
      <c r="S94" s="27"/>
      <c r="T94" s="27"/>
      <c r="U94" s="27"/>
      <c r="V94" s="27"/>
      <c r="W94" s="27"/>
      <c r="X94" s="27"/>
    </row>
    <row r="95" spans="16:25" x14ac:dyDescent="0.25">
      <c r="P95" s="27"/>
      <c r="Q95" s="27"/>
      <c r="R95" s="27"/>
      <c r="S95" s="27"/>
      <c r="T95" s="27"/>
      <c r="U95" s="27"/>
      <c r="V95" s="27"/>
      <c r="W95" s="27"/>
      <c r="X95" s="27"/>
    </row>
    <row r="96" spans="16:25" x14ac:dyDescent="0.25">
      <c r="P96" s="27"/>
      <c r="Q96" s="27"/>
      <c r="R96" s="27"/>
      <c r="S96" s="27"/>
      <c r="T96" s="27"/>
      <c r="U96" s="27"/>
      <c r="V96" s="27"/>
      <c r="W96" s="27"/>
      <c r="X96" s="27"/>
    </row>
    <row r="97" spans="16:24" x14ac:dyDescent="0.25">
      <c r="P97" s="27"/>
      <c r="Q97" s="27"/>
      <c r="R97" s="27"/>
      <c r="S97" s="27"/>
      <c r="T97" s="27"/>
      <c r="U97" s="27"/>
      <c r="V97" s="27"/>
      <c r="W97" s="27"/>
      <c r="X97" s="27"/>
    </row>
    <row r="98" spans="16:24" x14ac:dyDescent="0.25">
      <c r="P98" s="27"/>
      <c r="Q98" s="27"/>
      <c r="R98" s="27"/>
      <c r="S98" s="27"/>
      <c r="T98" s="27"/>
      <c r="U98" s="27"/>
      <c r="V98" s="27"/>
      <c r="W98" s="27"/>
      <c r="X98" s="27"/>
    </row>
    <row r="99" spans="16:24" x14ac:dyDescent="0.25">
      <c r="P99" s="27"/>
      <c r="Q99" s="27"/>
      <c r="R99" s="27"/>
      <c r="S99" s="27"/>
      <c r="T99" s="27"/>
      <c r="U99" s="27"/>
      <c r="V99" s="27"/>
      <c r="W99" s="27"/>
      <c r="X99" s="27"/>
    </row>
    <row r="100" spans="16:24" x14ac:dyDescent="0.25">
      <c r="P100" s="27"/>
      <c r="Q100" s="27"/>
      <c r="R100" s="27"/>
      <c r="S100" s="27"/>
      <c r="T100" s="27"/>
      <c r="U100" s="27"/>
      <c r="V100" s="27"/>
      <c r="W100" s="27"/>
      <c r="X100" s="27"/>
    </row>
    <row r="101" spans="16:24" x14ac:dyDescent="0.25">
      <c r="P101" s="27"/>
      <c r="Q101" s="27"/>
      <c r="R101" s="27"/>
      <c r="S101" s="27"/>
      <c r="T101" s="27"/>
      <c r="U101" s="27"/>
      <c r="V101" s="27"/>
      <c r="W101" s="27"/>
      <c r="X101" s="27"/>
    </row>
    <row r="102" spans="16:24" x14ac:dyDescent="0.25">
      <c r="P102" s="27"/>
      <c r="Q102" s="27"/>
      <c r="R102" s="27"/>
      <c r="S102" s="27"/>
      <c r="T102" s="27"/>
      <c r="U102" s="27"/>
      <c r="V102" s="27"/>
      <c r="W102" s="27"/>
      <c r="X102" s="27"/>
    </row>
    <row r="103" spans="16:24" x14ac:dyDescent="0.25">
      <c r="P103" s="27"/>
      <c r="Q103" s="27"/>
      <c r="R103" s="27"/>
      <c r="S103" s="27"/>
      <c r="T103" s="27"/>
      <c r="U103" s="27"/>
      <c r="V103" s="27"/>
      <c r="W103" s="27"/>
      <c r="X103" s="27"/>
    </row>
    <row r="104" spans="16:24" x14ac:dyDescent="0.25">
      <c r="P104" s="27"/>
      <c r="Q104" s="27"/>
      <c r="R104" s="27"/>
      <c r="S104" s="27"/>
      <c r="T104" s="27"/>
      <c r="U104" s="27"/>
      <c r="V104" s="27"/>
      <c r="W104" s="27"/>
      <c r="X104" s="27"/>
    </row>
    <row r="105" spans="16:24" x14ac:dyDescent="0.25">
      <c r="P105" s="27"/>
      <c r="Q105" s="27"/>
      <c r="R105" s="27"/>
      <c r="S105" s="27"/>
      <c r="T105" s="27"/>
      <c r="U105" s="27"/>
      <c r="V105" s="27"/>
      <c r="W105" s="27"/>
      <c r="X105" s="27"/>
    </row>
    <row r="106" spans="16:24" x14ac:dyDescent="0.25">
      <c r="P106" s="27"/>
      <c r="Q106" s="27"/>
      <c r="R106" s="27"/>
      <c r="S106" s="27"/>
      <c r="T106" s="27"/>
      <c r="U106" s="27"/>
      <c r="V106" s="27"/>
      <c r="W106" s="27"/>
      <c r="X106" s="27"/>
    </row>
    <row r="107" spans="16:24" x14ac:dyDescent="0.25">
      <c r="P107" s="27"/>
      <c r="Q107" s="27"/>
      <c r="R107" s="27"/>
      <c r="S107" s="27"/>
      <c r="T107" s="27"/>
      <c r="U107" s="27"/>
      <c r="V107" s="27"/>
      <c r="W107" s="27"/>
      <c r="X107" s="27"/>
    </row>
    <row r="108" spans="16:24" x14ac:dyDescent="0.25">
      <c r="P108" s="27"/>
      <c r="Q108" s="27"/>
      <c r="R108" s="27"/>
      <c r="S108" s="27"/>
      <c r="T108" s="27"/>
      <c r="U108" s="27"/>
      <c r="V108" s="27"/>
      <c r="W108" s="27"/>
      <c r="X108" s="27"/>
    </row>
  </sheetData>
  <mergeCells count="10">
    <mergeCell ref="A1:A3"/>
    <mergeCell ref="B1:B3"/>
    <mergeCell ref="C1:C3"/>
    <mergeCell ref="D1:D3"/>
    <mergeCell ref="B12:C12"/>
    <mergeCell ref="B13:C13"/>
    <mergeCell ref="B14:C14"/>
    <mergeCell ref="B15:C15"/>
    <mergeCell ref="B18:C18"/>
    <mergeCell ref="E1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Миргасимов Расим Рустамович</dc:creator>
  <cp:lastModifiedBy>Мехти Джабаров</cp:lastModifiedBy>
  <dcterms:created xsi:type="dcterms:W3CDTF">2025-11-17T13:17:35Z</dcterms:created>
  <dcterms:modified xsi:type="dcterms:W3CDTF">2025-11-17T16:18:03Z</dcterms:modified>
</cp:coreProperties>
</file>