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khty\Downloads\"/>
    </mc:Choice>
  </mc:AlternateContent>
  <xr:revisionPtr revIDLastSave="0" documentId="13_ncr:1_{24A5FC22-9793-40ED-AD64-0001A0636E48}" xr6:coauthVersionLast="47" xr6:coauthVersionMax="47" xr10:uidLastSave="{00000000-0000-0000-0000-000000000000}"/>
  <bookViews>
    <workbookView xWindow="10245" yWindow="0" windowWidth="10245" windowHeight="10920" xr2:uid="{308F07F4-9A2F-488C-A5DE-8D3FDD9E99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1" i="1" l="1"/>
  <c r="Q78" i="1"/>
  <c r="R68" i="1"/>
  <c r="P61" i="1"/>
  <c r="P62" i="1"/>
  <c r="P50" i="1"/>
  <c r="P46" i="1"/>
  <c r="P41" i="1"/>
  <c r="P35" i="1"/>
  <c r="P23" i="1"/>
  <c r="P36" i="1"/>
  <c r="P33" i="1"/>
  <c r="W21" i="1"/>
  <c r="W22" i="1"/>
  <c r="Q23" i="1"/>
  <c r="P22" i="1"/>
  <c r="P21" i="1"/>
  <c r="Q22" i="1"/>
  <c r="Q21" i="1"/>
  <c r="R23" i="1"/>
  <c r="R22" i="1"/>
  <c r="M19" i="1"/>
  <c r="I19" i="1"/>
  <c r="Q13" i="1"/>
  <c r="W13" i="1"/>
  <c r="H20" i="1"/>
  <c r="K19" i="1"/>
  <c r="J19" i="1"/>
  <c r="M18" i="1"/>
  <c r="K18" i="1"/>
  <c r="J18" i="1"/>
  <c r="H18" i="1"/>
  <c r="Q80" i="1"/>
  <c r="Q79" i="1"/>
  <c r="P76" i="1"/>
  <c r="Q76" i="1"/>
  <c r="S76" i="1"/>
  <c r="T76" i="1"/>
  <c r="U76" i="1"/>
  <c r="V76" i="1"/>
  <c r="R76" i="1"/>
  <c r="P74" i="1"/>
  <c r="Q74" i="1"/>
  <c r="S74" i="1"/>
  <c r="T74" i="1"/>
  <c r="U74" i="1"/>
  <c r="V74" i="1"/>
  <c r="W74" i="1"/>
  <c r="R74" i="1"/>
  <c r="P73" i="1"/>
  <c r="Q73" i="1"/>
  <c r="R73" i="1"/>
  <c r="S73" i="1"/>
  <c r="T73" i="1"/>
  <c r="U73" i="1"/>
  <c r="V73" i="1"/>
  <c r="W73" i="1"/>
  <c r="P72" i="1"/>
  <c r="Q72" i="1"/>
  <c r="S72" i="1"/>
  <c r="T72" i="1"/>
  <c r="U72" i="1"/>
  <c r="V72" i="1"/>
  <c r="W72" i="1"/>
  <c r="R72" i="1"/>
  <c r="P68" i="1"/>
  <c r="Q68" i="1"/>
  <c r="S68" i="1"/>
  <c r="T68" i="1"/>
  <c r="U68" i="1"/>
  <c r="V68" i="1"/>
  <c r="W68" i="1"/>
  <c r="P60" i="1"/>
  <c r="P59" i="1"/>
  <c r="Q50" i="1"/>
  <c r="R50" i="1"/>
  <c r="S50" i="1"/>
  <c r="T50" i="1"/>
  <c r="U50" i="1"/>
  <c r="V50" i="1"/>
  <c r="Q49" i="1"/>
  <c r="R49" i="1"/>
  <c r="S49" i="1"/>
  <c r="T49" i="1"/>
  <c r="U49" i="1"/>
  <c r="V49" i="1"/>
  <c r="W49" i="1"/>
  <c r="P49" i="1"/>
  <c r="Q46" i="1"/>
  <c r="R46" i="1"/>
  <c r="S46" i="1"/>
  <c r="T46" i="1"/>
  <c r="U46" i="1"/>
  <c r="V46" i="1"/>
  <c r="W46" i="1"/>
  <c r="Q41" i="1"/>
  <c r="R41" i="1"/>
  <c r="S41" i="1"/>
  <c r="T41" i="1"/>
  <c r="U41" i="1"/>
  <c r="V41" i="1"/>
  <c r="W41" i="1"/>
  <c r="S23" i="1"/>
  <c r="T23" i="1"/>
  <c r="U23" i="1"/>
  <c r="V23" i="1"/>
  <c r="S22" i="1"/>
  <c r="T22" i="1"/>
  <c r="U22" i="1"/>
  <c r="V22" i="1"/>
  <c r="R21" i="1"/>
  <c r="S21" i="1"/>
  <c r="T21" i="1"/>
  <c r="U21" i="1"/>
  <c r="V21" i="1"/>
  <c r="R13" i="1"/>
  <c r="S13" i="1"/>
  <c r="T13" i="1"/>
  <c r="U13" i="1"/>
  <c r="V13" i="1"/>
  <c r="M20" i="1"/>
  <c r="J20" i="1"/>
  <c r="I20" i="1"/>
</calcChain>
</file>

<file path=xl/sharedStrings.xml><?xml version="1.0" encoding="utf-8"?>
<sst xmlns="http://schemas.openxmlformats.org/spreadsheetml/2006/main" count="100" uniqueCount="29">
  <si>
    <t>А</t>
  </si>
  <si>
    <t>Б</t>
  </si>
  <si>
    <t>В</t>
  </si>
  <si>
    <t>Г</t>
  </si>
  <si>
    <t>Прибыль</t>
  </si>
  <si>
    <t>Фонд раб. Времени</t>
  </si>
  <si>
    <t>Изделия оборуд.</t>
  </si>
  <si>
    <t>x1+x3&lt;=240</t>
  </si>
  <si>
    <t>4x2+6x3&lt;=180</t>
  </si>
  <si>
    <t>2x1+3x2+x3&lt;=200</t>
  </si>
  <si>
    <t>3x1+x2&lt;=160</t>
  </si>
  <si>
    <t>x1, x2, x3 &gt;=0</t>
  </si>
  <si>
    <t>+</t>
  </si>
  <si>
    <t>x4</t>
  </si>
  <si>
    <t>x5</t>
  </si>
  <si>
    <t>x6</t>
  </si>
  <si>
    <t>x7</t>
  </si>
  <si>
    <t>x1</t>
  </si>
  <si>
    <t>x2</t>
  </si>
  <si>
    <t>x3</t>
  </si>
  <si>
    <t>bi</t>
  </si>
  <si>
    <t>1ст</t>
  </si>
  <si>
    <t>2ст</t>
  </si>
  <si>
    <t>3ст</t>
  </si>
  <si>
    <t>x1=</t>
  </si>
  <si>
    <t>x2=</t>
  </si>
  <si>
    <t>x3=</t>
  </si>
  <si>
    <t>Fmax=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</si>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</sst>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12" xfId="0" applyBorder="1"/>
    <xf numFmtId="0" fontId="0" fillId="2" borderId="0" xfId="0" applyFill="1"/>
    <xf numFmtId="0" fontId="0" fillId="3" borderId="0" xfId="0" applyFill="1"/>
    <xf numFmtId="0" fontId="0" fillId="3" borderId="12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4948-1D07-4268-92B9-8BA68C0F4DA3}">
  <dimension ref="A1:W81"/>
  <sheetViews>
    <sheetView tabSelected="1" topLeftCell="A27" zoomScale="40" zoomScaleNormal="40" workbookViewId="0">
      <selection activeCell="Q81" sqref="Q81"/>
    </sheetView>
  </sheetViews>
  <sheetFormatPr defaultRowHeight="15" x14ac:dyDescent="0.25"/>
  <cols>
    <col min="1" max="1" width="20.85546875" customWidth="1"/>
    <col min="5" max="5" width="12.7109375" customWidth="1"/>
  </cols>
  <sheetData>
    <row r="1" spans="1:23" ht="14.25" customHeight="1" x14ac:dyDescent="0.25">
      <c r="A1" s="21" t="s">
        <v>6</v>
      </c>
      <c r="B1" s="21">
        <v>1</v>
      </c>
      <c r="C1" s="21">
        <v>2</v>
      </c>
      <c r="D1" s="21">
        <v>3</v>
      </c>
      <c r="E1" s="21" t="s">
        <v>5</v>
      </c>
    </row>
    <row r="2" spans="1:23" ht="15" customHeight="1" x14ac:dyDescent="0.25">
      <c r="A2" s="22"/>
      <c r="B2" s="22"/>
      <c r="C2" s="22"/>
      <c r="D2" s="22"/>
      <c r="E2" s="22"/>
    </row>
    <row r="3" spans="1:23" ht="19.5" customHeight="1" thickBot="1" x14ac:dyDescent="0.3">
      <c r="A3" s="23"/>
      <c r="B3" s="23"/>
      <c r="C3" s="23"/>
      <c r="D3" s="23"/>
      <c r="E3" s="23"/>
    </row>
    <row r="4" spans="1:23" ht="18.75" x14ac:dyDescent="0.25">
      <c r="A4" s="5" t="s">
        <v>0</v>
      </c>
      <c r="B4" s="2">
        <v>1</v>
      </c>
      <c r="C4" s="3">
        <v>0</v>
      </c>
      <c r="D4" s="6">
        <v>1</v>
      </c>
      <c r="E4" s="2">
        <v>240</v>
      </c>
    </row>
    <row r="5" spans="1:23" ht="18.75" x14ac:dyDescent="0.25">
      <c r="A5" s="7" t="s">
        <v>1</v>
      </c>
      <c r="B5" s="8">
        <v>0</v>
      </c>
      <c r="C5" s="4">
        <v>4</v>
      </c>
      <c r="D5" s="1">
        <v>6</v>
      </c>
      <c r="E5" s="8">
        <v>180</v>
      </c>
    </row>
    <row r="6" spans="1:23" ht="18.75" x14ac:dyDescent="0.25">
      <c r="A6" s="7" t="s">
        <v>2</v>
      </c>
      <c r="B6" s="8">
        <v>2</v>
      </c>
      <c r="C6" s="4">
        <v>3</v>
      </c>
      <c r="D6" s="1">
        <v>1</v>
      </c>
      <c r="E6" s="8">
        <v>200</v>
      </c>
    </row>
    <row r="7" spans="1:23" ht="19.5" thickBot="1" x14ac:dyDescent="0.3">
      <c r="A7" s="9" t="s">
        <v>3</v>
      </c>
      <c r="B7" s="10">
        <v>3</v>
      </c>
      <c r="C7" s="11">
        <v>1</v>
      </c>
      <c r="D7" s="12">
        <v>0</v>
      </c>
      <c r="E7" s="10">
        <v>160</v>
      </c>
    </row>
    <row r="8" spans="1:23" ht="19.5" thickBot="1" x14ac:dyDescent="0.3">
      <c r="A8" s="13" t="s">
        <v>4</v>
      </c>
      <c r="B8" s="11">
        <v>3</v>
      </c>
      <c r="C8" s="11">
        <v>5</v>
      </c>
      <c r="D8" s="11">
        <v>4</v>
      </c>
      <c r="E8" s="11"/>
    </row>
    <row r="11" spans="1:23" x14ac:dyDescent="0.25">
      <c r="B11" s="20" t="s">
        <v>7</v>
      </c>
      <c r="C11" s="20"/>
      <c r="D11" s="14" t="s">
        <v>12</v>
      </c>
      <c r="E11" t="s">
        <v>13</v>
      </c>
      <c r="G11" s="15" t="s">
        <v>17</v>
      </c>
      <c r="H11" s="15" t="s">
        <v>18</v>
      </c>
      <c r="I11" s="15" t="s">
        <v>19</v>
      </c>
      <c r="J11" s="15" t="s">
        <v>13</v>
      </c>
      <c r="K11" s="15" t="s">
        <v>14</v>
      </c>
      <c r="L11" s="15" t="s">
        <v>15</v>
      </c>
      <c r="M11" s="15" t="s">
        <v>16</v>
      </c>
      <c r="N11" s="15" t="s">
        <v>20</v>
      </c>
      <c r="P11" s="15" t="s">
        <v>17</v>
      </c>
      <c r="Q11" s="15" t="s">
        <v>18</v>
      </c>
      <c r="R11" s="15" t="s">
        <v>19</v>
      </c>
      <c r="S11" s="15" t="s">
        <v>13</v>
      </c>
      <c r="T11" s="15" t="s">
        <v>14</v>
      </c>
      <c r="U11" s="15" t="s">
        <v>15</v>
      </c>
      <c r="V11" s="15" t="s">
        <v>16</v>
      </c>
      <c r="W11" s="15" t="s">
        <v>20</v>
      </c>
    </row>
    <row r="12" spans="1:23" x14ac:dyDescent="0.25">
      <c r="B12" s="20" t="s">
        <v>8</v>
      </c>
      <c r="C12" s="20"/>
      <c r="D12" s="14" t="s">
        <v>12</v>
      </c>
      <c r="E12" t="s">
        <v>14</v>
      </c>
      <c r="G12" s="15">
        <v>1</v>
      </c>
      <c r="H12" s="15">
        <v>0</v>
      </c>
      <c r="I12" s="15">
        <v>1</v>
      </c>
      <c r="J12" s="15">
        <v>1</v>
      </c>
      <c r="K12" s="15">
        <v>0</v>
      </c>
      <c r="L12" s="15">
        <v>0</v>
      </c>
      <c r="M12" s="15">
        <v>0</v>
      </c>
      <c r="N12" s="15">
        <v>240</v>
      </c>
      <c r="P12" s="15">
        <v>1</v>
      </c>
      <c r="Q12" s="15">
        <v>0</v>
      </c>
      <c r="R12" s="15">
        <v>1</v>
      </c>
      <c r="S12" s="15">
        <v>1</v>
      </c>
      <c r="T12" s="15">
        <v>0</v>
      </c>
      <c r="U12" s="15">
        <v>0</v>
      </c>
      <c r="V12" s="15">
        <v>0</v>
      </c>
      <c r="W12" s="15">
        <v>240</v>
      </c>
    </row>
    <row r="13" spans="1:23" x14ac:dyDescent="0.25">
      <c r="B13" s="20" t="s">
        <v>9</v>
      </c>
      <c r="C13" s="20"/>
      <c r="D13" s="14" t="s">
        <v>12</v>
      </c>
      <c r="E13" t="s">
        <v>15</v>
      </c>
      <c r="G13" s="15">
        <v>0</v>
      </c>
      <c r="H13" s="18">
        <v>4</v>
      </c>
      <c r="I13" s="15">
        <v>6</v>
      </c>
      <c r="J13" s="15">
        <v>0</v>
      </c>
      <c r="K13" s="15">
        <v>1</v>
      </c>
      <c r="L13" s="15">
        <v>0</v>
      </c>
      <c r="M13" s="15">
        <v>0</v>
      </c>
      <c r="N13" s="15">
        <v>180</v>
      </c>
      <c r="P13" s="15">
        <v>0</v>
      </c>
      <c r="Q13" s="18">
        <f>H13/4</f>
        <v>1</v>
      </c>
      <c r="R13" s="15">
        <f t="shared" ref="R13:W13" si="0">I13/4</f>
        <v>1.5</v>
      </c>
      <c r="S13" s="15">
        <f t="shared" si="0"/>
        <v>0</v>
      </c>
      <c r="T13" s="15">
        <f t="shared" si="0"/>
        <v>0.25</v>
      </c>
      <c r="U13" s="15">
        <f t="shared" si="0"/>
        <v>0</v>
      </c>
      <c r="V13" s="15">
        <f t="shared" si="0"/>
        <v>0</v>
      </c>
      <c r="W13" s="15">
        <f>N13/4</f>
        <v>45</v>
      </c>
    </row>
    <row r="14" spans="1:23" x14ac:dyDescent="0.25">
      <c r="B14" s="20" t="s">
        <v>10</v>
      </c>
      <c r="C14" s="20"/>
      <c r="D14" s="14" t="s">
        <v>12</v>
      </c>
      <c r="E14" t="s">
        <v>16</v>
      </c>
      <c r="G14" s="15">
        <v>2</v>
      </c>
      <c r="H14" s="15">
        <v>3</v>
      </c>
      <c r="I14" s="15">
        <v>1</v>
      </c>
      <c r="J14" s="15">
        <v>0</v>
      </c>
      <c r="K14" s="15">
        <v>0</v>
      </c>
      <c r="L14" s="15">
        <v>1</v>
      </c>
      <c r="M14" s="15">
        <v>0</v>
      </c>
      <c r="N14" s="15">
        <v>200</v>
      </c>
      <c r="P14" s="15">
        <v>2</v>
      </c>
      <c r="Q14" s="15">
        <v>3</v>
      </c>
      <c r="R14" s="15">
        <v>1</v>
      </c>
      <c r="S14" s="15">
        <v>0</v>
      </c>
      <c r="T14" s="15">
        <v>0</v>
      </c>
      <c r="U14" s="15">
        <v>1</v>
      </c>
      <c r="V14" s="15">
        <v>0</v>
      </c>
      <c r="W14" s="15">
        <v>200</v>
      </c>
    </row>
    <row r="15" spans="1:23" x14ac:dyDescent="0.25">
      <c r="G15" s="15">
        <v>3</v>
      </c>
      <c r="H15" s="15">
        <v>1</v>
      </c>
      <c r="I15" s="15">
        <v>0</v>
      </c>
      <c r="J15" s="15">
        <v>0</v>
      </c>
      <c r="K15" s="15">
        <v>0</v>
      </c>
      <c r="L15" s="15">
        <v>0</v>
      </c>
      <c r="M15" s="15">
        <v>1</v>
      </c>
      <c r="N15" s="15">
        <v>160</v>
      </c>
      <c r="P15" s="15">
        <v>3</v>
      </c>
      <c r="Q15" s="15">
        <v>1</v>
      </c>
      <c r="R15" s="15">
        <v>0</v>
      </c>
      <c r="S15" s="15">
        <v>0</v>
      </c>
      <c r="T15" s="15">
        <v>0</v>
      </c>
      <c r="U15" s="15">
        <v>0</v>
      </c>
      <c r="V15" s="15">
        <v>1</v>
      </c>
      <c r="W15" s="15">
        <v>160</v>
      </c>
    </row>
    <row r="16" spans="1:23" x14ac:dyDescent="0.25">
      <c r="B16" s="20" t="s">
        <v>11</v>
      </c>
      <c r="C16" s="20"/>
      <c r="G16" s="15">
        <v>3</v>
      </c>
      <c r="H16" s="15">
        <v>5</v>
      </c>
      <c r="I16" s="15">
        <v>4</v>
      </c>
      <c r="J16" s="15">
        <v>0</v>
      </c>
      <c r="K16" s="15">
        <v>0</v>
      </c>
      <c r="L16" s="15">
        <v>0</v>
      </c>
      <c r="M16" s="15">
        <v>0</v>
      </c>
      <c r="N16" s="15"/>
      <c r="P16" s="15">
        <v>3</v>
      </c>
      <c r="Q16" s="15">
        <v>5</v>
      </c>
      <c r="R16" s="15">
        <v>4</v>
      </c>
      <c r="S16" s="15">
        <v>0</v>
      </c>
      <c r="T16" s="15">
        <v>0</v>
      </c>
      <c r="U16" s="15">
        <v>0</v>
      </c>
      <c r="V16" s="15">
        <v>0</v>
      </c>
      <c r="W16" s="15"/>
    </row>
    <row r="18" spans="7:23" x14ac:dyDescent="0.25">
      <c r="G18" t="s">
        <v>21</v>
      </c>
      <c r="H18">
        <f>N12/G12</f>
        <v>240</v>
      </c>
      <c r="J18">
        <f>N14/G14</f>
        <v>100</v>
      </c>
      <c r="K18" s="16">
        <f>N15/G15</f>
        <v>53.333333333333336</v>
      </c>
      <c r="M18">
        <f>K18*G16</f>
        <v>160</v>
      </c>
      <c r="P18" s="15" t="s">
        <v>17</v>
      </c>
      <c r="Q18" s="15" t="s">
        <v>18</v>
      </c>
      <c r="R18" s="15" t="s">
        <v>19</v>
      </c>
      <c r="S18" s="15" t="s">
        <v>13</v>
      </c>
      <c r="T18" s="15" t="s">
        <v>14</v>
      </c>
      <c r="U18" s="15" t="s">
        <v>15</v>
      </c>
      <c r="V18" s="15" t="s">
        <v>16</v>
      </c>
      <c r="W18" s="15" t="s">
        <v>20</v>
      </c>
    </row>
    <row r="19" spans="7:23" x14ac:dyDescent="0.25">
      <c r="G19" t="s">
        <v>22</v>
      </c>
      <c r="I19" s="16">
        <f>N13/H13</f>
        <v>45</v>
      </c>
      <c r="J19">
        <f>N14/H14</f>
        <v>66.666666666666671</v>
      </c>
      <c r="K19">
        <f>N15/H15</f>
        <v>160</v>
      </c>
      <c r="M19" s="17">
        <f>I19*H16</f>
        <v>225</v>
      </c>
      <c r="P19" s="15">
        <v>1</v>
      </c>
      <c r="Q19" s="15">
        <v>0</v>
      </c>
      <c r="R19" s="15">
        <v>1</v>
      </c>
      <c r="S19" s="15">
        <v>1</v>
      </c>
      <c r="T19" s="15">
        <v>0</v>
      </c>
      <c r="U19" s="15">
        <v>0</v>
      </c>
      <c r="V19" s="15">
        <v>0</v>
      </c>
      <c r="W19" s="15">
        <v>240</v>
      </c>
    </row>
    <row r="20" spans="7:23" x14ac:dyDescent="0.25">
      <c r="G20" t="s">
        <v>23</v>
      </c>
      <c r="H20">
        <f>N12/I12</f>
        <v>240</v>
      </c>
      <c r="I20" s="16">
        <f>N13/I13</f>
        <v>30</v>
      </c>
      <c r="J20">
        <f>N14/I14</f>
        <v>200</v>
      </c>
      <c r="M20">
        <f>I20*I16</f>
        <v>120</v>
      </c>
      <c r="P20" s="15">
        <v>0</v>
      </c>
      <c r="Q20" s="18">
        <v>1</v>
      </c>
      <c r="R20" s="15">
        <v>1.5</v>
      </c>
      <c r="S20" s="15">
        <v>0</v>
      </c>
      <c r="T20" s="15">
        <v>0.25</v>
      </c>
      <c r="U20" s="15">
        <v>0</v>
      </c>
      <c r="V20" s="15">
        <v>0</v>
      </c>
      <c r="W20" s="15">
        <v>45</v>
      </c>
    </row>
    <row r="21" spans="7:23" x14ac:dyDescent="0.25">
      <c r="P21" s="15">
        <f>P14-P13*3</f>
        <v>2</v>
      </c>
      <c r="Q21" s="15">
        <f>Q14-Q13*3</f>
        <v>0</v>
      </c>
      <c r="R21" s="15">
        <f t="shared" ref="R21:W21" si="1">R14-R13*3</f>
        <v>-3.5</v>
      </c>
      <c r="S21" s="15">
        <f t="shared" si="1"/>
        <v>0</v>
      </c>
      <c r="T21" s="15">
        <f t="shared" si="1"/>
        <v>-0.75</v>
      </c>
      <c r="U21" s="15">
        <f t="shared" si="1"/>
        <v>1</v>
      </c>
      <c r="V21" s="15">
        <f t="shared" si="1"/>
        <v>0</v>
      </c>
      <c r="W21" s="15">
        <f>W14-W13*3</f>
        <v>65</v>
      </c>
    </row>
    <row r="22" spans="7:23" x14ac:dyDescent="0.25">
      <c r="P22" s="15">
        <f>P15-P13</f>
        <v>3</v>
      </c>
      <c r="Q22" s="15">
        <f>Q15-Q13</f>
        <v>0</v>
      </c>
      <c r="R22" s="15">
        <f>R15-R13</f>
        <v>-1.5</v>
      </c>
      <c r="S22" s="15">
        <f t="shared" ref="R22:W22" si="2">S15-S13</f>
        <v>0</v>
      </c>
      <c r="T22" s="15">
        <f t="shared" si="2"/>
        <v>-0.25</v>
      </c>
      <c r="U22" s="15">
        <f t="shared" si="2"/>
        <v>0</v>
      </c>
      <c r="V22" s="15">
        <f t="shared" si="2"/>
        <v>1</v>
      </c>
      <c r="W22" s="15">
        <f>W15-W13</f>
        <v>115</v>
      </c>
    </row>
    <row r="23" spans="7:23" x14ac:dyDescent="0.25">
      <c r="P23" s="15">
        <f>P16-P13*5</f>
        <v>3</v>
      </c>
      <c r="Q23" s="15">
        <f>Q16-Q13*5</f>
        <v>0</v>
      </c>
      <c r="R23" s="15">
        <f>R16-R13*5</f>
        <v>-3.5</v>
      </c>
      <c r="S23" s="15">
        <f t="shared" ref="R23:V23" si="3">S16-S13*5</f>
        <v>0</v>
      </c>
      <c r="T23" s="15">
        <f t="shared" si="3"/>
        <v>-1.25</v>
      </c>
      <c r="U23" s="15">
        <f t="shared" si="3"/>
        <v>0</v>
      </c>
      <c r="V23" s="15">
        <f t="shared" si="3"/>
        <v>0</v>
      </c>
      <c r="W23" s="15"/>
    </row>
    <row r="26" spans="7:23" x14ac:dyDescent="0.25">
      <c r="P26" s="15" t="s">
        <v>17</v>
      </c>
      <c r="Q26" s="15" t="s">
        <v>18</v>
      </c>
      <c r="R26" s="15" t="s">
        <v>19</v>
      </c>
      <c r="S26" s="15" t="s">
        <v>13</v>
      </c>
      <c r="T26" s="15" t="s">
        <v>14</v>
      </c>
      <c r="U26" s="15" t="s">
        <v>15</v>
      </c>
      <c r="V26" s="15" t="s">
        <v>16</v>
      </c>
      <c r="W26" s="15" t="s">
        <v>20</v>
      </c>
    </row>
    <row r="27" spans="7:23" x14ac:dyDescent="0.25">
      <c r="P27" s="15">
        <v>1</v>
      </c>
      <c r="Q27" s="15">
        <v>0</v>
      </c>
      <c r="R27" s="15">
        <v>1</v>
      </c>
      <c r="S27" s="15">
        <v>1</v>
      </c>
      <c r="T27" s="15">
        <v>0</v>
      </c>
      <c r="U27" s="15">
        <v>0</v>
      </c>
      <c r="V27" s="15">
        <v>0</v>
      </c>
      <c r="W27" s="15">
        <v>240</v>
      </c>
    </row>
    <row r="28" spans="7:23" x14ac:dyDescent="0.25">
      <c r="P28" s="15">
        <v>0</v>
      </c>
      <c r="Q28" s="15">
        <v>1</v>
      </c>
      <c r="R28" s="15">
        <v>1.5</v>
      </c>
      <c r="S28" s="15">
        <v>0</v>
      </c>
      <c r="T28" s="15">
        <v>0.25</v>
      </c>
      <c r="U28" s="15">
        <v>0</v>
      </c>
      <c r="V28" s="15">
        <v>0</v>
      </c>
      <c r="W28" s="15">
        <v>45</v>
      </c>
    </row>
    <row r="29" spans="7:23" x14ac:dyDescent="0.25">
      <c r="P29" s="18">
        <v>2</v>
      </c>
      <c r="Q29" s="15">
        <v>0</v>
      </c>
      <c r="R29" s="15">
        <v>-3.5</v>
      </c>
      <c r="S29" s="15">
        <v>0</v>
      </c>
      <c r="T29" s="15">
        <v>-0.75</v>
      </c>
      <c r="U29" s="15">
        <v>1</v>
      </c>
      <c r="V29" s="15">
        <v>0</v>
      </c>
      <c r="W29" s="15">
        <v>65</v>
      </c>
    </row>
    <row r="30" spans="7:23" x14ac:dyDescent="0.25">
      <c r="P30" s="15">
        <v>3</v>
      </c>
      <c r="Q30" s="15">
        <v>0</v>
      </c>
      <c r="R30" s="15">
        <v>-1.5</v>
      </c>
      <c r="S30" s="15">
        <v>0</v>
      </c>
      <c r="T30" s="15">
        <v>-0.25</v>
      </c>
      <c r="U30" s="15">
        <v>0</v>
      </c>
      <c r="V30" s="15">
        <v>1</v>
      </c>
      <c r="W30" s="15">
        <v>115</v>
      </c>
    </row>
    <row r="31" spans="7:23" x14ac:dyDescent="0.25">
      <c r="P31" s="15">
        <v>3</v>
      </c>
      <c r="Q31" s="15">
        <v>0</v>
      </c>
      <c r="R31" s="15">
        <v>-3.5</v>
      </c>
      <c r="S31" s="15">
        <v>0</v>
      </c>
      <c r="T31" s="15">
        <v>-1.25</v>
      </c>
      <c r="U31" s="15">
        <v>0</v>
      </c>
      <c r="V31" s="15">
        <v>0</v>
      </c>
      <c r="W31" s="15"/>
    </row>
    <row r="33" spans="16:23" x14ac:dyDescent="0.25">
      <c r="P33">
        <f>W27/P27</f>
        <v>240</v>
      </c>
    </row>
    <row r="35" spans="16:23" x14ac:dyDescent="0.25">
      <c r="P35" s="17">
        <f>W29/P29</f>
        <v>32.5</v>
      </c>
    </row>
    <row r="36" spans="16:23" x14ac:dyDescent="0.25">
      <c r="P36">
        <f>W30/P30</f>
        <v>38.333333333333336</v>
      </c>
    </row>
    <row r="38" spans="16:23" x14ac:dyDescent="0.25">
      <c r="P38" s="15" t="s">
        <v>17</v>
      </c>
      <c r="Q38" s="15" t="s">
        <v>18</v>
      </c>
      <c r="R38" s="15" t="s">
        <v>19</v>
      </c>
      <c r="S38" s="15" t="s">
        <v>13</v>
      </c>
      <c r="T38" s="15" t="s">
        <v>14</v>
      </c>
      <c r="U38" s="15" t="s">
        <v>15</v>
      </c>
      <c r="V38" s="15" t="s">
        <v>16</v>
      </c>
      <c r="W38" s="15" t="s">
        <v>20</v>
      </c>
    </row>
    <row r="39" spans="16:23" x14ac:dyDescent="0.25">
      <c r="P39" s="15">
        <v>1</v>
      </c>
      <c r="Q39" s="15">
        <v>0</v>
      </c>
      <c r="R39" s="15">
        <v>1</v>
      </c>
      <c r="S39" s="15">
        <v>1</v>
      </c>
      <c r="T39" s="15">
        <v>0</v>
      </c>
      <c r="U39" s="15">
        <v>0</v>
      </c>
      <c r="V39" s="15">
        <v>0</v>
      </c>
      <c r="W39" s="15">
        <v>240</v>
      </c>
    </row>
    <row r="40" spans="16:23" x14ac:dyDescent="0.25">
      <c r="P40" s="15">
        <v>0</v>
      </c>
      <c r="Q40" s="15">
        <v>1</v>
      </c>
      <c r="R40" s="15">
        <v>1.5</v>
      </c>
      <c r="S40" s="15">
        <v>0</v>
      </c>
      <c r="T40" s="15">
        <v>0.25</v>
      </c>
      <c r="U40" s="15">
        <v>0</v>
      </c>
      <c r="V40" s="15">
        <v>0</v>
      </c>
      <c r="W40" s="15">
        <v>45</v>
      </c>
    </row>
    <row r="41" spans="16:23" x14ac:dyDescent="0.25">
      <c r="P41" s="18">
        <f>P29/2</f>
        <v>1</v>
      </c>
      <c r="Q41" s="15">
        <f t="shared" ref="Q41:W41" si="4">Q29/2</f>
        <v>0</v>
      </c>
      <c r="R41" s="15">
        <f t="shared" si="4"/>
        <v>-1.75</v>
      </c>
      <c r="S41" s="15">
        <f t="shared" si="4"/>
        <v>0</v>
      </c>
      <c r="T41" s="15">
        <f t="shared" si="4"/>
        <v>-0.375</v>
      </c>
      <c r="U41" s="15">
        <f t="shared" si="4"/>
        <v>0.5</v>
      </c>
      <c r="V41" s="15">
        <f t="shared" si="4"/>
        <v>0</v>
      </c>
      <c r="W41" s="15">
        <f t="shared" si="4"/>
        <v>32.5</v>
      </c>
    </row>
    <row r="42" spans="16:23" x14ac:dyDescent="0.25">
      <c r="P42" s="15">
        <v>3</v>
      </c>
      <c r="Q42" s="15">
        <v>0</v>
      </c>
      <c r="R42" s="15">
        <v>-1.5</v>
      </c>
      <c r="S42" s="15">
        <v>0</v>
      </c>
      <c r="T42" s="15">
        <v>-0.25</v>
      </c>
      <c r="U42" s="15">
        <v>0</v>
      </c>
      <c r="V42" s="15">
        <v>1</v>
      </c>
      <c r="W42" s="15">
        <v>115</v>
      </c>
    </row>
    <row r="43" spans="16:23" x14ac:dyDescent="0.25">
      <c r="P43" s="15">
        <v>3</v>
      </c>
      <c r="Q43" s="15">
        <v>0</v>
      </c>
      <c r="R43" s="15">
        <v>-3.5</v>
      </c>
      <c r="S43" s="15">
        <v>0</v>
      </c>
      <c r="T43" s="15">
        <v>-1.25</v>
      </c>
      <c r="U43" s="15">
        <v>0</v>
      </c>
      <c r="V43" s="15">
        <v>0</v>
      </c>
      <c r="W43" s="15"/>
    </row>
    <row r="45" spans="16:23" x14ac:dyDescent="0.25">
      <c r="P45" s="15" t="s">
        <v>17</v>
      </c>
      <c r="Q45" s="15" t="s">
        <v>18</v>
      </c>
      <c r="R45" s="15" t="s">
        <v>19</v>
      </c>
      <c r="S45" s="15" t="s">
        <v>13</v>
      </c>
      <c r="T45" s="15" t="s">
        <v>14</v>
      </c>
      <c r="U45" s="15" t="s">
        <v>15</v>
      </c>
      <c r="V45" s="15" t="s">
        <v>16</v>
      </c>
      <c r="W45" s="15" t="s">
        <v>20</v>
      </c>
    </row>
    <row r="46" spans="16:23" x14ac:dyDescent="0.25">
      <c r="P46" s="15">
        <f>P39-P41</f>
        <v>0</v>
      </c>
      <c r="Q46" s="15">
        <f t="shared" ref="Q46:W46" si="5">Q39-Q41</f>
        <v>0</v>
      </c>
      <c r="R46" s="15">
        <f t="shared" si="5"/>
        <v>2.75</v>
      </c>
      <c r="S46" s="15">
        <f t="shared" si="5"/>
        <v>1</v>
      </c>
      <c r="T46" s="15">
        <f t="shared" si="5"/>
        <v>0.375</v>
      </c>
      <c r="U46" s="15">
        <f t="shared" si="5"/>
        <v>-0.5</v>
      </c>
      <c r="V46" s="15">
        <f t="shared" si="5"/>
        <v>0</v>
      </c>
      <c r="W46" s="15">
        <f t="shared" si="5"/>
        <v>207.5</v>
      </c>
    </row>
    <row r="47" spans="16:23" x14ac:dyDescent="0.25">
      <c r="P47" s="15">
        <v>0</v>
      </c>
      <c r="Q47" s="15">
        <v>1</v>
      </c>
      <c r="R47" s="15">
        <v>1.5</v>
      </c>
      <c r="S47" s="15">
        <v>0</v>
      </c>
      <c r="T47" s="15">
        <v>0.25</v>
      </c>
      <c r="U47" s="15">
        <v>0</v>
      </c>
      <c r="V47" s="15">
        <v>0</v>
      </c>
      <c r="W47" s="15">
        <v>45</v>
      </c>
    </row>
    <row r="48" spans="16:23" x14ac:dyDescent="0.25">
      <c r="P48" s="18">
        <v>1</v>
      </c>
      <c r="Q48" s="15">
        <v>0</v>
      </c>
      <c r="R48" s="15">
        <v>-1.75</v>
      </c>
      <c r="S48" s="15">
        <v>0</v>
      </c>
      <c r="T48" s="15">
        <v>-0.375</v>
      </c>
      <c r="U48" s="15">
        <v>0.5</v>
      </c>
      <c r="V48" s="15">
        <v>0</v>
      </c>
      <c r="W48" s="15">
        <v>32.5</v>
      </c>
    </row>
    <row r="49" spans="16:23" x14ac:dyDescent="0.25">
      <c r="P49" s="15">
        <f>P42-P41*3</f>
        <v>0</v>
      </c>
      <c r="Q49" s="15">
        <f t="shared" ref="Q49:W49" si="6">Q42-Q41*3</f>
        <v>0</v>
      </c>
      <c r="R49" s="15">
        <f t="shared" si="6"/>
        <v>3.75</v>
      </c>
      <c r="S49" s="15">
        <f t="shared" si="6"/>
        <v>0</v>
      </c>
      <c r="T49" s="15">
        <f t="shared" si="6"/>
        <v>0.875</v>
      </c>
      <c r="U49" s="15">
        <f t="shared" si="6"/>
        <v>-1.5</v>
      </c>
      <c r="V49" s="15">
        <f t="shared" si="6"/>
        <v>1</v>
      </c>
      <c r="W49" s="15">
        <f t="shared" si="6"/>
        <v>17.5</v>
      </c>
    </row>
    <row r="50" spans="16:23" x14ac:dyDescent="0.25">
      <c r="P50" s="15">
        <f>P43-P41*3</f>
        <v>0</v>
      </c>
      <c r="Q50" s="15">
        <f t="shared" ref="Q50:V50" si="7">Q43-Q41*3</f>
        <v>0</v>
      </c>
      <c r="R50" s="15">
        <f t="shared" si="7"/>
        <v>1.75</v>
      </c>
      <c r="S50" s="15">
        <f t="shared" si="7"/>
        <v>0</v>
      </c>
      <c r="T50" s="15">
        <f t="shared" si="7"/>
        <v>-0.125</v>
      </c>
      <c r="U50" s="15">
        <f t="shared" si="7"/>
        <v>-1.5</v>
      </c>
      <c r="V50" s="15">
        <f t="shared" si="7"/>
        <v>0</v>
      </c>
      <c r="W50" s="15"/>
    </row>
    <row r="52" spans="16:23" x14ac:dyDescent="0.25">
      <c r="P52" s="15" t="s">
        <v>17</v>
      </c>
      <c r="Q52" s="15" t="s">
        <v>18</v>
      </c>
      <c r="R52" s="15" t="s">
        <v>19</v>
      </c>
      <c r="S52" s="15" t="s">
        <v>13</v>
      </c>
      <c r="T52" s="15" t="s">
        <v>14</v>
      </c>
      <c r="U52" s="15" t="s">
        <v>15</v>
      </c>
      <c r="V52" s="15" t="s">
        <v>16</v>
      </c>
      <c r="W52" s="15" t="s">
        <v>20</v>
      </c>
    </row>
    <row r="53" spans="16:23" x14ac:dyDescent="0.25">
      <c r="P53" s="15">
        <v>0</v>
      </c>
      <c r="Q53" s="15">
        <v>0</v>
      </c>
      <c r="R53" s="15">
        <v>2.75</v>
      </c>
      <c r="S53" s="15">
        <v>1</v>
      </c>
      <c r="T53" s="15">
        <v>0.375</v>
      </c>
      <c r="U53" s="15">
        <v>-0.5</v>
      </c>
      <c r="V53" s="15">
        <v>0</v>
      </c>
      <c r="W53" s="15">
        <v>207.5</v>
      </c>
    </row>
    <row r="54" spans="16:23" x14ac:dyDescent="0.25">
      <c r="P54" s="15">
        <v>0</v>
      </c>
      <c r="Q54" s="15">
        <v>1</v>
      </c>
      <c r="R54" s="15">
        <v>1.5</v>
      </c>
      <c r="S54" s="15">
        <v>0</v>
      </c>
      <c r="T54" s="15">
        <v>0.25</v>
      </c>
      <c r="U54" s="15">
        <v>0</v>
      </c>
      <c r="V54" s="15">
        <v>0</v>
      </c>
      <c r="W54" s="15">
        <v>45</v>
      </c>
    </row>
    <row r="55" spans="16:23" x14ac:dyDescent="0.25">
      <c r="P55" s="15">
        <v>1</v>
      </c>
      <c r="Q55" s="15">
        <v>0</v>
      </c>
      <c r="R55" s="15">
        <v>-1.75</v>
      </c>
      <c r="S55" s="15">
        <v>0</v>
      </c>
      <c r="T55" s="15">
        <v>-0.375</v>
      </c>
      <c r="U55" s="15">
        <v>0.5</v>
      </c>
      <c r="V55" s="15">
        <v>0</v>
      </c>
      <c r="W55" s="15">
        <v>32.5</v>
      </c>
    </row>
    <row r="56" spans="16:23" x14ac:dyDescent="0.25">
      <c r="P56" s="15">
        <v>0</v>
      </c>
      <c r="Q56" s="15">
        <v>0</v>
      </c>
      <c r="R56" s="18">
        <v>3.75</v>
      </c>
      <c r="S56" s="15">
        <v>0</v>
      </c>
      <c r="T56" s="15">
        <v>0.875</v>
      </c>
      <c r="U56" s="15">
        <v>-1.5</v>
      </c>
      <c r="V56" s="15">
        <v>1</v>
      </c>
      <c r="W56" s="15">
        <v>17.5</v>
      </c>
    </row>
    <row r="57" spans="16:23" x14ac:dyDescent="0.25">
      <c r="P57" s="15">
        <v>0</v>
      </c>
      <c r="Q57" s="15">
        <v>0</v>
      </c>
      <c r="R57" s="15">
        <v>1.75</v>
      </c>
      <c r="S57" s="15">
        <v>0</v>
      </c>
      <c r="T57" s="15">
        <v>-0.125</v>
      </c>
      <c r="U57" s="15">
        <v>-1.5</v>
      </c>
      <c r="V57" s="15">
        <v>0</v>
      </c>
      <c r="W57" s="15"/>
    </row>
    <row r="59" spans="16:23" x14ac:dyDescent="0.25">
      <c r="P59">
        <f>W53/R53</f>
        <v>75.454545454545453</v>
      </c>
    </row>
    <row r="60" spans="16:23" x14ac:dyDescent="0.25">
      <c r="P60">
        <f t="shared" ref="P60:P61" si="8">W54/R54</f>
        <v>30</v>
      </c>
    </row>
    <row r="61" spans="16:23" x14ac:dyDescent="0.25">
      <c r="P61">
        <f>W55/R55</f>
        <v>-18.571428571428573</v>
      </c>
    </row>
    <row r="62" spans="16:23" x14ac:dyDescent="0.25">
      <c r="P62" s="17">
        <f>W56/R56</f>
        <v>4.666666666666667</v>
      </c>
    </row>
    <row r="64" spans="16:23" x14ac:dyDescent="0.25">
      <c r="P64" s="15" t="s">
        <v>17</v>
      </c>
      <c r="Q64" s="15" t="s">
        <v>18</v>
      </c>
      <c r="R64" s="15" t="s">
        <v>19</v>
      </c>
      <c r="S64" s="15" t="s">
        <v>13</v>
      </c>
      <c r="T64" s="15" t="s">
        <v>14</v>
      </c>
      <c r="U64" s="15" t="s">
        <v>15</v>
      </c>
      <c r="V64" s="15" t="s">
        <v>16</v>
      </c>
      <c r="W64" s="15" t="s">
        <v>20</v>
      </c>
    </row>
    <row r="65" spans="15:23" x14ac:dyDescent="0.25">
      <c r="P65" s="15">
        <v>0</v>
      </c>
      <c r="Q65" s="15">
        <v>0</v>
      </c>
      <c r="R65" s="15">
        <v>2.75</v>
      </c>
      <c r="S65" s="15">
        <v>1</v>
      </c>
      <c r="T65" s="15">
        <v>0.375</v>
      </c>
      <c r="U65" s="15">
        <v>-0.5</v>
      </c>
      <c r="V65" s="15">
        <v>0</v>
      </c>
      <c r="W65" s="15">
        <v>207.5</v>
      </c>
    </row>
    <row r="66" spans="15:23" x14ac:dyDescent="0.25">
      <c r="P66" s="15">
        <v>0</v>
      </c>
      <c r="Q66" s="15">
        <v>1</v>
      </c>
      <c r="R66" s="15">
        <v>1.5</v>
      </c>
      <c r="S66" s="15">
        <v>0</v>
      </c>
      <c r="T66" s="15">
        <v>0.25</v>
      </c>
      <c r="U66" s="15">
        <v>0</v>
      </c>
      <c r="V66" s="15">
        <v>0</v>
      </c>
      <c r="W66" s="15">
        <v>45</v>
      </c>
    </row>
    <row r="67" spans="15:23" x14ac:dyDescent="0.25">
      <c r="P67" s="15">
        <v>1</v>
      </c>
      <c r="Q67" s="15">
        <v>0</v>
      </c>
      <c r="R67" s="15">
        <v>-1.75</v>
      </c>
      <c r="S67" s="15">
        <v>0</v>
      </c>
      <c r="T67" s="15">
        <v>-0.375</v>
      </c>
      <c r="U67" s="15">
        <v>0.5</v>
      </c>
      <c r="V67" s="15">
        <v>0</v>
      </c>
      <c r="W67" s="15">
        <v>32.5</v>
      </c>
    </row>
    <row r="68" spans="15:23" x14ac:dyDescent="0.25">
      <c r="P68" s="15">
        <f>P56/3.75</f>
        <v>0</v>
      </c>
      <c r="Q68" s="15">
        <f>Q56/3.75</f>
        <v>0</v>
      </c>
      <c r="R68" s="18">
        <f>R56/3.75</f>
        <v>1</v>
      </c>
      <c r="S68" s="15">
        <f t="shared" ref="S68:W68" si="9">S56/3.75</f>
        <v>0</v>
      </c>
      <c r="T68" s="15">
        <f t="shared" si="9"/>
        <v>0.23333333333333334</v>
      </c>
      <c r="U68" s="15">
        <f t="shared" si="9"/>
        <v>-0.4</v>
      </c>
      <c r="V68" s="15">
        <f t="shared" si="9"/>
        <v>0.26666666666666666</v>
      </c>
      <c r="W68" s="15">
        <f t="shared" si="9"/>
        <v>4.666666666666667</v>
      </c>
    </row>
    <row r="69" spans="15:23" x14ac:dyDescent="0.25">
      <c r="P69" s="15">
        <v>0</v>
      </c>
      <c r="Q69" s="15">
        <v>0</v>
      </c>
      <c r="R69" s="15">
        <v>1.75</v>
      </c>
      <c r="S69" s="15">
        <v>0</v>
      </c>
      <c r="T69" s="15">
        <v>-0.125</v>
      </c>
      <c r="U69" s="15">
        <v>-1.5</v>
      </c>
      <c r="V69" s="15">
        <v>0</v>
      </c>
      <c r="W69" s="15"/>
    </row>
    <row r="71" spans="15:23" x14ac:dyDescent="0.25">
      <c r="P71" s="15" t="s">
        <v>17</v>
      </c>
      <c r="Q71" s="15" t="s">
        <v>18</v>
      </c>
      <c r="R71" s="15" t="s">
        <v>19</v>
      </c>
      <c r="S71" s="15" t="s">
        <v>13</v>
      </c>
      <c r="T71" s="15" t="s">
        <v>14</v>
      </c>
      <c r="U71" s="15" t="s">
        <v>15</v>
      </c>
      <c r="V71" s="15" t="s">
        <v>16</v>
      </c>
      <c r="W71" s="15" t="s">
        <v>20</v>
      </c>
    </row>
    <row r="72" spans="15:23" x14ac:dyDescent="0.25">
      <c r="P72" s="15">
        <f t="shared" ref="P72:Q72" si="10">P65-P75*2.75</f>
        <v>0</v>
      </c>
      <c r="Q72" s="15">
        <f t="shared" si="10"/>
        <v>0</v>
      </c>
      <c r="R72" s="15">
        <f>R65-R75*2.75</f>
        <v>0</v>
      </c>
      <c r="S72" s="15">
        <f t="shared" ref="S72:W72" si="11">S65-S75*2.75</f>
        <v>1</v>
      </c>
      <c r="T72" s="15">
        <f t="shared" si="11"/>
        <v>-0.26666666666666672</v>
      </c>
      <c r="U72" s="15">
        <f t="shared" si="11"/>
        <v>0.60000000000000009</v>
      </c>
      <c r="V72" s="15">
        <f t="shared" si="11"/>
        <v>-0.73333333333333328</v>
      </c>
      <c r="W72" s="15">
        <f t="shared" si="11"/>
        <v>194.66666666666666</v>
      </c>
    </row>
    <row r="73" spans="15:23" x14ac:dyDescent="0.25">
      <c r="P73" s="15">
        <f>P66-P75*1.5</f>
        <v>0</v>
      </c>
      <c r="Q73" s="15">
        <f>Q66-Q75*1.5</f>
        <v>1</v>
      </c>
      <c r="R73" s="15">
        <f>R66-R75*1.5</f>
        <v>0</v>
      </c>
      <c r="S73" s="15">
        <f t="shared" ref="S73:W73" si="12">S66-S75*1.5</f>
        <v>0</v>
      </c>
      <c r="T73" s="15">
        <f t="shared" si="12"/>
        <v>-9.9999999999999978E-2</v>
      </c>
      <c r="U73" s="15">
        <f t="shared" si="12"/>
        <v>0.60000000000000009</v>
      </c>
      <c r="V73" s="15">
        <f t="shared" si="12"/>
        <v>-0.4</v>
      </c>
      <c r="W73" s="15">
        <f t="shared" si="12"/>
        <v>38</v>
      </c>
    </row>
    <row r="74" spans="15:23" x14ac:dyDescent="0.25">
      <c r="P74" s="15">
        <f t="shared" ref="P74:Q74" si="13">P67-P68*(-1.75)</f>
        <v>1</v>
      </c>
      <c r="Q74" s="15">
        <f t="shared" si="13"/>
        <v>0</v>
      </c>
      <c r="R74" s="15">
        <f>R67-R68*(-1.75)</f>
        <v>0</v>
      </c>
      <c r="S74" s="15">
        <f t="shared" ref="S74:W74" si="14">S67-S68*(-1.75)</f>
        <v>0</v>
      </c>
      <c r="T74" s="15">
        <f t="shared" si="14"/>
        <v>3.3333333333333326E-2</v>
      </c>
      <c r="U74" s="15">
        <f t="shared" si="14"/>
        <v>-0.20000000000000007</v>
      </c>
      <c r="V74" s="15">
        <f t="shared" si="14"/>
        <v>0.46666666666666667</v>
      </c>
      <c r="W74" s="15">
        <f t="shared" si="14"/>
        <v>40.666666666666671</v>
      </c>
    </row>
    <row r="75" spans="15:23" x14ac:dyDescent="0.25">
      <c r="P75" s="15">
        <v>0</v>
      </c>
      <c r="Q75" s="15">
        <v>0</v>
      </c>
      <c r="R75" s="18">
        <v>1</v>
      </c>
      <c r="S75" s="15">
        <v>0</v>
      </c>
      <c r="T75" s="15">
        <v>0.23333333333333334</v>
      </c>
      <c r="U75" s="15">
        <v>-0.4</v>
      </c>
      <c r="V75" s="15">
        <v>0.26666666666666666</v>
      </c>
      <c r="W75" s="15">
        <v>4.666666666666667</v>
      </c>
    </row>
    <row r="76" spans="15:23" x14ac:dyDescent="0.25">
      <c r="P76" s="15">
        <f t="shared" ref="P76:Q76" si="15">P69-P68*1.75</f>
        <v>0</v>
      </c>
      <c r="Q76" s="15">
        <f t="shared" si="15"/>
        <v>0</v>
      </c>
      <c r="R76" s="15">
        <f>R69-R68*1.75</f>
        <v>0</v>
      </c>
      <c r="S76" s="15">
        <f t="shared" ref="S76:V76" si="16">S69-S68*1.75</f>
        <v>0</v>
      </c>
      <c r="T76" s="15">
        <f t="shared" si="16"/>
        <v>-0.53333333333333333</v>
      </c>
      <c r="U76" s="15">
        <f t="shared" si="16"/>
        <v>-0.79999999999999993</v>
      </c>
      <c r="V76" s="15">
        <f t="shared" si="16"/>
        <v>-0.46666666666666667</v>
      </c>
      <c r="W76" s="15"/>
    </row>
    <row r="78" spans="15:23" x14ac:dyDescent="0.25">
      <c r="O78" s="19" t="s">
        <v>28</v>
      </c>
      <c r="P78" s="15" t="s">
        <v>24</v>
      </c>
      <c r="Q78" s="15">
        <f>W74</f>
        <v>40.666666666666671</v>
      </c>
    </row>
    <row r="79" spans="15:23" x14ac:dyDescent="0.25">
      <c r="P79" s="15" t="s">
        <v>25</v>
      </c>
      <c r="Q79" s="15">
        <f>W73</f>
        <v>38</v>
      </c>
    </row>
    <row r="80" spans="15:23" x14ac:dyDescent="0.25">
      <c r="P80" s="15" t="s">
        <v>26</v>
      </c>
      <c r="Q80" s="15">
        <f>W75</f>
        <v>4.666666666666667</v>
      </c>
    </row>
    <row r="81" spans="16:17" x14ac:dyDescent="0.25">
      <c r="P81" s="15" t="s">
        <v>27</v>
      </c>
      <c r="Q81" s="15">
        <f>Q78*G16+Q79*H16+Q80*I16</f>
        <v>330.66666666666669</v>
      </c>
    </row>
  </sheetData>
  <mergeCells count="10">
    <mergeCell ref="A1:A3"/>
    <mergeCell ref="B1:B3"/>
    <mergeCell ref="C1:C3"/>
    <mergeCell ref="D1:D3"/>
    <mergeCell ref="B11:C11"/>
    <mergeCell ref="B12:C12"/>
    <mergeCell ref="B13:C13"/>
    <mergeCell ref="B14:C14"/>
    <mergeCell ref="B16:C16"/>
    <mergeCell ref="E1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Миргасимов Расим Рустамович</dc:creator>
  <cp:lastModifiedBy>Мехти Джабаров</cp:lastModifiedBy>
  <dcterms:created xsi:type="dcterms:W3CDTF">2025-11-17T13:17:35Z</dcterms:created>
  <dcterms:modified xsi:type="dcterms:W3CDTF">2025-11-17T16:16:34Z</dcterms:modified>
</cp:coreProperties>
</file>