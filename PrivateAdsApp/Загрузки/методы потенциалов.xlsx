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khty\Downloads\"/>
    </mc:Choice>
  </mc:AlternateContent>
  <xr:revisionPtr revIDLastSave="0" documentId="13_ncr:1_{1E94CEFF-6261-45BC-9A1E-AF93DC90C984}" xr6:coauthVersionLast="47" xr6:coauthVersionMax="47" xr10:uidLastSave="{00000000-0000-0000-0000-000000000000}"/>
  <bookViews>
    <workbookView xWindow="10245" yWindow="0" windowWidth="10245" windowHeight="10920" xr2:uid="{C33AA40D-19E7-43F3-B95B-84B878D9BC6C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1" i="2" l="1"/>
  <c r="Y12" i="2"/>
  <c r="L62" i="2"/>
  <c r="G53" i="2"/>
  <c r="P59" i="2"/>
  <c r="J6" i="2"/>
  <c r="P2" i="2"/>
  <c r="G2" i="2"/>
  <c r="C56" i="2"/>
  <c r="A6" i="2"/>
</calcChain>
</file>

<file path=xl/sharedStrings.xml><?xml version="1.0" encoding="utf-8"?>
<sst xmlns="http://schemas.openxmlformats.org/spreadsheetml/2006/main" count="121" uniqueCount="9">
  <si>
    <t>-</t>
  </si>
  <si>
    <t xml:space="preserve">Стоимость </t>
  </si>
  <si>
    <t>Северо-западного угла</t>
  </si>
  <si>
    <t>Минимального элемента</t>
  </si>
  <si>
    <t>Стоисмость</t>
  </si>
  <si>
    <t>Метод потенциалов</t>
  </si>
  <si>
    <t>Итоговый оптимальный план</t>
  </si>
  <si>
    <t>Стоимость</t>
  </si>
  <si>
    <t>F=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</si>
</sst>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1" fillId="2" borderId="1" xfId="0" applyNumberFormat="1" applyFont="1" applyFill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0" borderId="2" xfId="0" applyFill="1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D42E-5723-4FE2-A315-15160DE76AC7}">
  <dimension ref="A1:Y74"/>
  <sheetViews>
    <sheetView tabSelected="1" zoomScale="70" zoomScaleNormal="70" workbookViewId="0">
      <selection activeCell="L11" sqref="L11"/>
    </sheetView>
  </sheetViews>
  <sheetFormatPr defaultRowHeight="15" x14ac:dyDescent="0.25"/>
  <cols>
    <col min="18" max="18" width="10.42578125" customWidth="1"/>
    <col min="27" max="27" width="11.85546875" customWidth="1"/>
    <col min="36" max="36" width="12" customWidth="1"/>
  </cols>
  <sheetData>
    <row r="1" spans="1:25" x14ac:dyDescent="0.25">
      <c r="C1" t="s">
        <v>2</v>
      </c>
      <c r="L1" s="6" t="s">
        <v>3</v>
      </c>
      <c r="M1" s="6"/>
      <c r="N1" s="6"/>
      <c r="T1" t="s">
        <v>5</v>
      </c>
    </row>
    <row r="2" spans="1:25" x14ac:dyDescent="0.25">
      <c r="G2">
        <f>SUM(G3:G5)</f>
        <v>850</v>
      </c>
      <c r="P2">
        <f>SUM(P3:P5)</f>
        <v>850</v>
      </c>
      <c r="Y2">
        <v>850</v>
      </c>
    </row>
    <row r="3" spans="1:25" x14ac:dyDescent="0.25">
      <c r="B3" s="3">
        <v>24</v>
      </c>
      <c r="C3" s="3">
        <v>50</v>
      </c>
      <c r="D3" s="3">
        <v>55</v>
      </c>
      <c r="E3" s="3">
        <v>27</v>
      </c>
      <c r="F3" s="3">
        <v>16</v>
      </c>
      <c r="G3" s="3">
        <v>200</v>
      </c>
      <c r="K3" s="3">
        <v>24</v>
      </c>
      <c r="L3" s="3">
        <v>50</v>
      </c>
      <c r="M3" s="3">
        <v>55</v>
      </c>
      <c r="N3" s="3">
        <v>27</v>
      </c>
      <c r="O3" s="3">
        <v>16</v>
      </c>
      <c r="P3" s="3">
        <v>200</v>
      </c>
      <c r="T3" s="3">
        <v>24</v>
      </c>
      <c r="U3" s="3">
        <v>50</v>
      </c>
      <c r="V3" s="3">
        <v>55</v>
      </c>
      <c r="W3" s="3">
        <v>27</v>
      </c>
      <c r="X3" s="3">
        <v>16</v>
      </c>
      <c r="Y3" s="3">
        <v>200</v>
      </c>
    </row>
    <row r="4" spans="1:25" x14ac:dyDescent="0.25">
      <c r="B4" s="3">
        <v>50</v>
      </c>
      <c r="C4" s="3">
        <v>47</v>
      </c>
      <c r="D4" s="3">
        <v>23</v>
      </c>
      <c r="E4" s="3">
        <v>17</v>
      </c>
      <c r="F4" s="3">
        <v>21</v>
      </c>
      <c r="G4" s="3">
        <v>350</v>
      </c>
      <c r="K4" s="3">
        <v>50</v>
      </c>
      <c r="L4" s="3">
        <v>47</v>
      </c>
      <c r="M4" s="3">
        <v>23</v>
      </c>
      <c r="N4" s="3">
        <v>17</v>
      </c>
      <c r="O4" s="3">
        <v>21</v>
      </c>
      <c r="P4" s="3">
        <v>350</v>
      </c>
      <c r="T4" s="3">
        <v>50</v>
      </c>
      <c r="U4" s="3">
        <v>47</v>
      </c>
      <c r="V4" s="3">
        <v>23</v>
      </c>
      <c r="W4" s="3">
        <v>17</v>
      </c>
      <c r="X4" s="3">
        <v>21</v>
      </c>
      <c r="Y4" s="3">
        <v>350</v>
      </c>
    </row>
    <row r="5" spans="1:25" x14ac:dyDescent="0.25">
      <c r="B5" s="3">
        <v>35</v>
      </c>
      <c r="C5" s="3">
        <v>59</v>
      </c>
      <c r="D5" s="3">
        <v>55</v>
      </c>
      <c r="E5" s="3">
        <v>27</v>
      </c>
      <c r="F5" s="3">
        <v>41</v>
      </c>
      <c r="G5" s="3">
        <v>300</v>
      </c>
      <c r="K5" s="3">
        <v>35</v>
      </c>
      <c r="L5" s="3">
        <v>59</v>
      </c>
      <c r="M5" s="3">
        <v>55</v>
      </c>
      <c r="N5" s="3">
        <v>27</v>
      </c>
      <c r="O5" s="3">
        <v>41</v>
      </c>
      <c r="P5" s="3">
        <v>300</v>
      </c>
      <c r="T5" s="3">
        <v>35</v>
      </c>
      <c r="U5" s="3">
        <v>59</v>
      </c>
      <c r="V5" s="3">
        <v>55</v>
      </c>
      <c r="W5" s="3">
        <v>27</v>
      </c>
      <c r="X5" s="3">
        <v>41</v>
      </c>
      <c r="Y5" s="3">
        <v>300</v>
      </c>
    </row>
    <row r="6" spans="1:25" x14ac:dyDescent="0.25">
      <c r="A6">
        <f>SUM(B6:F6)</f>
        <v>850</v>
      </c>
      <c r="B6" s="3">
        <v>270</v>
      </c>
      <c r="C6" s="3">
        <v>130</v>
      </c>
      <c r="D6" s="3">
        <v>190</v>
      </c>
      <c r="E6" s="3">
        <v>150</v>
      </c>
      <c r="F6" s="3">
        <v>110</v>
      </c>
      <c r="J6">
        <f>SUM(K6:O6)</f>
        <v>850</v>
      </c>
      <c r="K6" s="3">
        <v>270</v>
      </c>
      <c r="L6" s="3">
        <v>130</v>
      </c>
      <c r="M6" s="3">
        <v>190</v>
      </c>
      <c r="N6" s="3">
        <v>150</v>
      </c>
      <c r="O6" s="3">
        <v>110</v>
      </c>
      <c r="S6">
        <v>850</v>
      </c>
      <c r="T6" s="3">
        <v>270</v>
      </c>
      <c r="U6" s="3">
        <v>130</v>
      </c>
      <c r="V6" s="3">
        <v>190</v>
      </c>
      <c r="W6" s="3">
        <v>150</v>
      </c>
      <c r="X6" s="3">
        <v>110</v>
      </c>
    </row>
    <row r="9" spans="1:25" x14ac:dyDescent="0.25">
      <c r="B9" s="1">
        <v>200</v>
      </c>
      <c r="C9" s="2">
        <v>50</v>
      </c>
      <c r="D9" s="2">
        <v>55</v>
      </c>
      <c r="E9" s="2">
        <v>27</v>
      </c>
      <c r="F9" s="2">
        <v>16</v>
      </c>
      <c r="G9" s="2">
        <v>0</v>
      </c>
      <c r="K9" s="3">
        <v>24</v>
      </c>
      <c r="L9" s="3">
        <v>50</v>
      </c>
      <c r="M9" s="3">
        <v>55</v>
      </c>
      <c r="N9" s="3">
        <v>27</v>
      </c>
      <c r="O9" s="4">
        <v>16</v>
      </c>
      <c r="P9" s="3">
        <v>200</v>
      </c>
      <c r="T9" s="4">
        <v>90</v>
      </c>
      <c r="U9" s="3" t="s">
        <v>0</v>
      </c>
      <c r="V9" s="3" t="s">
        <v>0</v>
      </c>
      <c r="W9" s="3" t="s">
        <v>0</v>
      </c>
      <c r="X9" s="4">
        <v>110</v>
      </c>
      <c r="Y9" s="3">
        <v>200</v>
      </c>
    </row>
    <row r="10" spans="1:25" x14ac:dyDescent="0.25">
      <c r="B10" s="3">
        <v>50</v>
      </c>
      <c r="C10" s="3">
        <v>47</v>
      </c>
      <c r="D10" s="3">
        <v>23</v>
      </c>
      <c r="E10" s="3">
        <v>17</v>
      </c>
      <c r="F10" s="3">
        <v>21</v>
      </c>
      <c r="G10" s="3">
        <v>350</v>
      </c>
      <c r="K10" s="3">
        <v>50</v>
      </c>
      <c r="L10" s="3">
        <v>47</v>
      </c>
      <c r="M10" s="3">
        <v>23</v>
      </c>
      <c r="N10" s="3">
        <v>17</v>
      </c>
      <c r="O10" s="2">
        <v>21</v>
      </c>
      <c r="P10" s="3">
        <v>350</v>
      </c>
      <c r="T10" s="3" t="s">
        <v>0</v>
      </c>
      <c r="U10" s="4">
        <v>10</v>
      </c>
      <c r="V10" s="4">
        <v>190</v>
      </c>
      <c r="W10" s="4">
        <v>150</v>
      </c>
      <c r="X10" s="3" t="s">
        <v>0</v>
      </c>
      <c r="Y10" s="3">
        <v>250</v>
      </c>
    </row>
    <row r="11" spans="1:25" x14ac:dyDescent="0.25">
      <c r="B11" s="3">
        <v>35</v>
      </c>
      <c r="C11" s="3">
        <v>59</v>
      </c>
      <c r="D11" s="3">
        <v>55</v>
      </c>
      <c r="E11" s="3">
        <v>27</v>
      </c>
      <c r="F11" s="3">
        <v>41</v>
      </c>
      <c r="G11" s="3">
        <v>300</v>
      </c>
      <c r="K11" s="3">
        <v>35</v>
      </c>
      <c r="L11" s="3">
        <v>59</v>
      </c>
      <c r="M11" s="3">
        <v>55</v>
      </c>
      <c r="N11" s="3">
        <v>27</v>
      </c>
      <c r="O11" s="2">
        <v>41</v>
      </c>
      <c r="P11" s="3">
        <v>300</v>
      </c>
      <c r="T11" s="4">
        <v>180</v>
      </c>
      <c r="U11" s="4">
        <v>120</v>
      </c>
      <c r="V11" s="3" t="s">
        <v>0</v>
      </c>
      <c r="W11" s="3" t="s">
        <v>0</v>
      </c>
      <c r="X11" s="3" t="s">
        <v>0</v>
      </c>
      <c r="Y11" s="3">
        <v>300</v>
      </c>
    </row>
    <row r="12" spans="1:25" x14ac:dyDescent="0.25">
      <c r="B12" s="3">
        <v>70</v>
      </c>
      <c r="C12" s="3">
        <v>130</v>
      </c>
      <c r="D12" s="3">
        <v>190</v>
      </c>
      <c r="E12" s="3">
        <v>150</v>
      </c>
      <c r="F12" s="3">
        <v>110</v>
      </c>
      <c r="G12" s="3"/>
      <c r="K12" s="3">
        <v>270</v>
      </c>
      <c r="L12" s="3">
        <v>130</v>
      </c>
      <c r="M12" s="3">
        <v>190</v>
      </c>
      <c r="N12" s="3">
        <v>150</v>
      </c>
      <c r="O12" s="2">
        <v>110</v>
      </c>
      <c r="T12" s="3">
        <v>270</v>
      </c>
      <c r="U12" s="3">
        <v>130</v>
      </c>
      <c r="V12" s="3">
        <v>190</v>
      </c>
      <c r="W12" s="3">
        <v>150</v>
      </c>
      <c r="X12" s="3">
        <v>110</v>
      </c>
      <c r="Y12">
        <f>SUM(T12:X12)</f>
        <v>850</v>
      </c>
    </row>
    <row r="14" spans="1:25" x14ac:dyDescent="0.25">
      <c r="B14" s="4">
        <v>200</v>
      </c>
      <c r="C14" s="5" t="s">
        <v>0</v>
      </c>
      <c r="D14" s="5" t="s">
        <v>0</v>
      </c>
      <c r="E14" s="5" t="s">
        <v>0</v>
      </c>
      <c r="F14" s="5" t="s">
        <v>0</v>
      </c>
      <c r="G14" s="3">
        <v>0</v>
      </c>
      <c r="T14" t="s">
        <v>6</v>
      </c>
    </row>
    <row r="15" spans="1:25" x14ac:dyDescent="0.25">
      <c r="B15" s="4">
        <v>70</v>
      </c>
      <c r="C15" s="3">
        <v>47</v>
      </c>
      <c r="D15" s="3">
        <v>23</v>
      </c>
      <c r="E15" s="3">
        <v>17</v>
      </c>
      <c r="F15" s="3">
        <v>21</v>
      </c>
      <c r="G15" s="3">
        <v>280</v>
      </c>
      <c r="K15" s="3">
        <v>24</v>
      </c>
      <c r="L15" s="3">
        <v>50</v>
      </c>
      <c r="M15" s="3">
        <v>55</v>
      </c>
      <c r="N15" s="3">
        <v>27</v>
      </c>
      <c r="O15" s="4">
        <v>110</v>
      </c>
      <c r="P15" s="3">
        <v>90</v>
      </c>
      <c r="T15" s="3">
        <v>90</v>
      </c>
      <c r="U15" s="3" t="s">
        <v>0</v>
      </c>
      <c r="V15" s="3" t="s">
        <v>0</v>
      </c>
      <c r="W15" s="3" t="s">
        <v>0</v>
      </c>
      <c r="X15" s="3">
        <v>110</v>
      </c>
      <c r="Y15">
        <v>200</v>
      </c>
    </row>
    <row r="16" spans="1:25" x14ac:dyDescent="0.25">
      <c r="B16" s="5" t="s">
        <v>0</v>
      </c>
      <c r="C16" s="3">
        <v>59</v>
      </c>
      <c r="D16" s="3">
        <v>55</v>
      </c>
      <c r="E16" s="3">
        <v>27</v>
      </c>
      <c r="F16" s="3">
        <v>41</v>
      </c>
      <c r="G16" s="3">
        <v>300</v>
      </c>
      <c r="K16" s="3">
        <v>50</v>
      </c>
      <c r="L16" s="3">
        <v>47</v>
      </c>
      <c r="M16" s="3">
        <v>23</v>
      </c>
      <c r="N16" s="4">
        <v>17</v>
      </c>
      <c r="O16" s="3" t="s">
        <v>0</v>
      </c>
      <c r="P16" s="3">
        <v>350</v>
      </c>
      <c r="T16" s="3" t="s">
        <v>0</v>
      </c>
      <c r="U16" s="3">
        <v>130</v>
      </c>
      <c r="V16" s="3">
        <v>190</v>
      </c>
      <c r="W16" s="3">
        <v>30</v>
      </c>
      <c r="X16" s="3" t="s">
        <v>0</v>
      </c>
      <c r="Y16" s="8">
        <v>350</v>
      </c>
    </row>
    <row r="17" spans="2:25" x14ac:dyDescent="0.25">
      <c r="B17" s="3">
        <v>0</v>
      </c>
      <c r="C17" s="3">
        <v>130</v>
      </c>
      <c r="D17" s="3">
        <v>190</v>
      </c>
      <c r="E17" s="3">
        <v>150</v>
      </c>
      <c r="F17" s="3">
        <v>110</v>
      </c>
      <c r="G17" s="3"/>
      <c r="K17" s="3">
        <v>35</v>
      </c>
      <c r="L17" s="3">
        <v>59</v>
      </c>
      <c r="M17" s="3">
        <v>55</v>
      </c>
      <c r="N17" s="3">
        <v>27</v>
      </c>
      <c r="O17" s="3" t="s">
        <v>0</v>
      </c>
      <c r="P17" s="3">
        <v>300</v>
      </c>
      <c r="T17" s="3">
        <v>180</v>
      </c>
      <c r="U17" s="3" t="s">
        <v>0</v>
      </c>
      <c r="V17" s="3" t="s">
        <v>0</v>
      </c>
      <c r="W17" s="3">
        <v>120</v>
      </c>
      <c r="X17" s="3" t="s">
        <v>0</v>
      </c>
      <c r="Y17">
        <v>300</v>
      </c>
    </row>
    <row r="18" spans="2:25" x14ac:dyDescent="0.25">
      <c r="K18" s="3">
        <v>270</v>
      </c>
      <c r="L18" s="3">
        <v>130</v>
      </c>
      <c r="M18" s="3">
        <v>190</v>
      </c>
      <c r="N18" s="3">
        <v>150</v>
      </c>
      <c r="O18" s="3">
        <v>0</v>
      </c>
    </row>
    <row r="20" spans="2:25" x14ac:dyDescent="0.25">
      <c r="B20" s="4">
        <v>200</v>
      </c>
      <c r="C20" s="5" t="s">
        <v>0</v>
      </c>
      <c r="D20" s="5" t="s">
        <v>0</v>
      </c>
      <c r="E20" s="5" t="s">
        <v>0</v>
      </c>
      <c r="F20" s="5" t="s">
        <v>0</v>
      </c>
      <c r="G20" s="3">
        <v>0</v>
      </c>
      <c r="K20" s="3">
        <v>24</v>
      </c>
      <c r="L20" s="3">
        <v>50</v>
      </c>
      <c r="M20" s="3">
        <v>55</v>
      </c>
      <c r="N20" s="3" t="s">
        <v>0</v>
      </c>
      <c r="O20" s="4">
        <v>110</v>
      </c>
      <c r="P20" s="3">
        <v>90</v>
      </c>
    </row>
    <row r="21" spans="2:25" x14ac:dyDescent="0.25">
      <c r="B21" s="4">
        <v>70</v>
      </c>
      <c r="C21" s="4">
        <v>130</v>
      </c>
      <c r="D21" s="3">
        <v>23</v>
      </c>
      <c r="E21" s="3">
        <v>17</v>
      </c>
      <c r="F21" s="3">
        <v>21</v>
      </c>
      <c r="G21" s="3">
        <v>150</v>
      </c>
      <c r="K21" s="3">
        <v>50</v>
      </c>
      <c r="L21" s="3">
        <v>47</v>
      </c>
      <c r="M21" s="4">
        <v>23</v>
      </c>
      <c r="N21" s="4">
        <v>150</v>
      </c>
      <c r="O21" s="3" t="s">
        <v>0</v>
      </c>
      <c r="P21" s="3">
        <v>200</v>
      </c>
      <c r="T21" t="s">
        <v>7</v>
      </c>
      <c r="U21" t="s">
        <v>8</v>
      </c>
      <c r="V21">
        <f>T15*T3+X15*X3+U16*U4+V16*V4+W16*W4+T17*T5+W17*W5</f>
        <v>24450</v>
      </c>
    </row>
    <row r="22" spans="2:25" x14ac:dyDescent="0.25">
      <c r="B22" s="5" t="s">
        <v>0</v>
      </c>
      <c r="C22" s="5" t="s">
        <v>0</v>
      </c>
      <c r="D22" s="3">
        <v>55</v>
      </c>
      <c r="E22" s="3">
        <v>27</v>
      </c>
      <c r="F22" s="3">
        <v>41</v>
      </c>
      <c r="G22" s="3">
        <v>300</v>
      </c>
      <c r="K22" s="3">
        <v>35</v>
      </c>
      <c r="L22" s="3">
        <v>59</v>
      </c>
      <c r="M22" s="3">
        <v>55</v>
      </c>
      <c r="N22" s="3" t="s">
        <v>0</v>
      </c>
      <c r="O22" s="3" t="s">
        <v>0</v>
      </c>
      <c r="P22" s="3">
        <v>300</v>
      </c>
    </row>
    <row r="23" spans="2:25" x14ac:dyDescent="0.25">
      <c r="B23" s="3">
        <v>0</v>
      </c>
      <c r="C23" s="3">
        <v>0</v>
      </c>
      <c r="D23" s="3">
        <v>190</v>
      </c>
      <c r="E23" s="3">
        <v>150</v>
      </c>
      <c r="F23" s="3">
        <v>110</v>
      </c>
      <c r="G23" s="3"/>
      <c r="K23" s="3">
        <v>270</v>
      </c>
      <c r="L23" s="3">
        <v>130</v>
      </c>
      <c r="M23" s="3">
        <v>190</v>
      </c>
      <c r="N23" s="3">
        <v>0</v>
      </c>
      <c r="O23" s="3">
        <v>0</v>
      </c>
    </row>
    <row r="26" spans="2:25" x14ac:dyDescent="0.25">
      <c r="B26" s="4">
        <v>200</v>
      </c>
      <c r="C26" s="5" t="s">
        <v>0</v>
      </c>
      <c r="D26" s="5" t="s">
        <v>0</v>
      </c>
      <c r="E26" s="5" t="s">
        <v>0</v>
      </c>
      <c r="F26" s="5" t="s">
        <v>0</v>
      </c>
      <c r="G26" s="3">
        <v>0</v>
      </c>
      <c r="K26" s="4">
        <v>24</v>
      </c>
      <c r="L26" s="3">
        <v>50</v>
      </c>
      <c r="M26" s="3">
        <v>55</v>
      </c>
      <c r="N26" s="3" t="s">
        <v>0</v>
      </c>
      <c r="O26" s="4">
        <v>110</v>
      </c>
      <c r="P26" s="3">
        <v>90</v>
      </c>
    </row>
    <row r="27" spans="2:25" x14ac:dyDescent="0.25">
      <c r="B27" s="4">
        <v>70</v>
      </c>
      <c r="C27" s="4">
        <v>130</v>
      </c>
      <c r="D27" s="4">
        <v>150</v>
      </c>
      <c r="E27" s="5" t="s">
        <v>0</v>
      </c>
      <c r="F27" s="5" t="s">
        <v>0</v>
      </c>
      <c r="G27" s="3">
        <v>0</v>
      </c>
      <c r="K27" s="3">
        <v>50</v>
      </c>
      <c r="L27" s="3">
        <v>47</v>
      </c>
      <c r="M27" s="4">
        <v>23</v>
      </c>
      <c r="N27" s="4">
        <v>150</v>
      </c>
      <c r="O27" s="3" t="s">
        <v>0</v>
      </c>
      <c r="P27" s="3">
        <v>10</v>
      </c>
    </row>
    <row r="28" spans="2:25" x14ac:dyDescent="0.25">
      <c r="B28" s="5" t="s">
        <v>0</v>
      </c>
      <c r="C28" s="5" t="s">
        <v>0</v>
      </c>
      <c r="D28" s="3">
        <v>55</v>
      </c>
      <c r="E28" s="3">
        <v>27</v>
      </c>
      <c r="F28" s="3">
        <v>41</v>
      </c>
      <c r="G28" s="3">
        <v>300</v>
      </c>
      <c r="K28" s="3">
        <v>35</v>
      </c>
      <c r="L28" s="3">
        <v>59</v>
      </c>
      <c r="M28" s="3">
        <v>55</v>
      </c>
      <c r="N28" s="3" t="s">
        <v>0</v>
      </c>
      <c r="O28" s="3" t="s">
        <v>0</v>
      </c>
      <c r="P28" s="3">
        <v>300</v>
      </c>
    </row>
    <row r="29" spans="2:25" x14ac:dyDescent="0.25">
      <c r="B29" s="3">
        <v>0</v>
      </c>
      <c r="C29" s="3">
        <v>0</v>
      </c>
      <c r="D29" s="3">
        <v>40</v>
      </c>
      <c r="E29" s="3">
        <v>150</v>
      </c>
      <c r="F29" s="3">
        <v>110</v>
      </c>
      <c r="G29" s="3"/>
      <c r="K29" s="3">
        <v>270</v>
      </c>
      <c r="L29" s="3">
        <v>130</v>
      </c>
      <c r="M29" s="3">
        <v>0</v>
      </c>
      <c r="N29" s="3">
        <v>0</v>
      </c>
      <c r="O29" s="3">
        <v>0</v>
      </c>
    </row>
    <row r="32" spans="2:25" x14ac:dyDescent="0.25">
      <c r="B32" s="4">
        <v>200</v>
      </c>
      <c r="C32" s="5" t="s">
        <v>0</v>
      </c>
      <c r="D32" s="5" t="s">
        <v>0</v>
      </c>
      <c r="E32" s="5" t="s">
        <v>0</v>
      </c>
      <c r="F32" s="5" t="s">
        <v>0</v>
      </c>
      <c r="G32" s="3">
        <v>0</v>
      </c>
      <c r="K32" s="4">
        <v>90</v>
      </c>
      <c r="L32" s="3" t="s">
        <v>0</v>
      </c>
      <c r="M32" s="3" t="s">
        <v>0</v>
      </c>
      <c r="N32" s="3" t="s">
        <v>0</v>
      </c>
      <c r="O32" s="4">
        <v>110</v>
      </c>
      <c r="P32" s="3">
        <v>0</v>
      </c>
    </row>
    <row r="33" spans="2:16" x14ac:dyDescent="0.25">
      <c r="B33" s="4">
        <v>70</v>
      </c>
      <c r="C33" s="4">
        <v>130</v>
      </c>
      <c r="D33" s="4">
        <v>150</v>
      </c>
      <c r="E33" s="5" t="s">
        <v>0</v>
      </c>
      <c r="F33" s="5" t="s">
        <v>0</v>
      </c>
      <c r="G33" s="3">
        <v>0</v>
      </c>
      <c r="K33" s="3">
        <v>50</v>
      </c>
      <c r="L33" s="3">
        <v>47</v>
      </c>
      <c r="M33" s="4">
        <v>190</v>
      </c>
      <c r="N33" s="4">
        <v>150</v>
      </c>
      <c r="O33" s="3" t="s">
        <v>0</v>
      </c>
      <c r="P33" s="3">
        <v>10</v>
      </c>
    </row>
    <row r="34" spans="2:16" x14ac:dyDescent="0.25">
      <c r="B34" s="5" t="s">
        <v>0</v>
      </c>
      <c r="C34" s="5" t="s">
        <v>0</v>
      </c>
      <c r="D34" s="4">
        <v>40</v>
      </c>
      <c r="E34" s="3">
        <v>27</v>
      </c>
      <c r="F34" s="3">
        <v>41</v>
      </c>
      <c r="G34" s="3">
        <v>260</v>
      </c>
      <c r="K34" s="4">
        <v>35</v>
      </c>
      <c r="L34" s="3">
        <v>59</v>
      </c>
      <c r="M34" s="3">
        <v>55</v>
      </c>
      <c r="N34" s="3" t="s">
        <v>0</v>
      </c>
      <c r="O34" s="3" t="s">
        <v>0</v>
      </c>
      <c r="P34" s="3">
        <v>300</v>
      </c>
    </row>
    <row r="35" spans="2:16" x14ac:dyDescent="0.25">
      <c r="B35" s="3">
        <v>0</v>
      </c>
      <c r="C35" s="3">
        <v>0</v>
      </c>
      <c r="D35" s="3">
        <v>0</v>
      </c>
      <c r="E35" s="3">
        <v>150</v>
      </c>
      <c r="F35" s="3">
        <v>110</v>
      </c>
      <c r="G35" s="3"/>
      <c r="K35" s="3">
        <v>180</v>
      </c>
      <c r="L35" s="3">
        <v>130</v>
      </c>
      <c r="M35" s="3">
        <v>0</v>
      </c>
      <c r="N35" s="3">
        <v>0</v>
      </c>
      <c r="O35" s="3">
        <v>0</v>
      </c>
    </row>
    <row r="38" spans="2:16" x14ac:dyDescent="0.25">
      <c r="B38" s="4">
        <v>200</v>
      </c>
      <c r="C38" s="5" t="s">
        <v>0</v>
      </c>
      <c r="D38" s="5" t="s">
        <v>0</v>
      </c>
      <c r="E38" s="5" t="s">
        <v>0</v>
      </c>
      <c r="F38" s="5" t="s">
        <v>0</v>
      </c>
      <c r="G38" s="3">
        <v>0</v>
      </c>
      <c r="K38" s="4">
        <v>90</v>
      </c>
      <c r="L38" s="3" t="s">
        <v>0</v>
      </c>
      <c r="M38" s="3" t="s">
        <v>0</v>
      </c>
      <c r="N38" s="3" t="s">
        <v>0</v>
      </c>
      <c r="O38" s="4">
        <v>110</v>
      </c>
      <c r="P38" s="3">
        <v>0</v>
      </c>
    </row>
    <row r="39" spans="2:16" x14ac:dyDescent="0.25">
      <c r="B39" s="4">
        <v>70</v>
      </c>
      <c r="C39" s="4">
        <v>130</v>
      </c>
      <c r="D39" s="4">
        <v>150</v>
      </c>
      <c r="E39" s="5" t="s">
        <v>0</v>
      </c>
      <c r="F39" s="5" t="s">
        <v>0</v>
      </c>
      <c r="G39" s="3">
        <v>0</v>
      </c>
      <c r="K39" s="3">
        <v>50</v>
      </c>
      <c r="L39" s="4">
        <v>47</v>
      </c>
      <c r="M39" s="4">
        <v>190</v>
      </c>
      <c r="N39" s="4">
        <v>150</v>
      </c>
      <c r="O39" s="3" t="s">
        <v>0</v>
      </c>
      <c r="P39" s="3">
        <v>10</v>
      </c>
    </row>
    <row r="40" spans="2:16" x14ac:dyDescent="0.25">
      <c r="B40" s="5" t="s">
        <v>0</v>
      </c>
      <c r="C40" s="5" t="s">
        <v>0</v>
      </c>
      <c r="D40" s="4">
        <v>40</v>
      </c>
      <c r="E40" s="4">
        <v>150</v>
      </c>
      <c r="F40" s="3">
        <v>41</v>
      </c>
      <c r="G40" s="3">
        <v>110</v>
      </c>
      <c r="K40" s="4">
        <v>180</v>
      </c>
      <c r="L40" s="3">
        <v>59</v>
      </c>
      <c r="M40" s="3">
        <v>55</v>
      </c>
      <c r="N40" s="3" t="s">
        <v>0</v>
      </c>
      <c r="O40" s="3" t="s">
        <v>0</v>
      </c>
      <c r="P40" s="3">
        <v>120</v>
      </c>
    </row>
    <row r="41" spans="2:16" x14ac:dyDescent="0.25">
      <c r="B41" s="3">
        <v>0</v>
      </c>
      <c r="C41" s="3">
        <v>0</v>
      </c>
      <c r="D41" s="3">
        <v>0</v>
      </c>
      <c r="E41" s="3">
        <v>0</v>
      </c>
      <c r="F41" s="3">
        <v>110</v>
      </c>
      <c r="G41" s="3"/>
      <c r="K41" s="3">
        <v>0</v>
      </c>
      <c r="L41" s="3">
        <v>130</v>
      </c>
      <c r="M41" s="3">
        <v>0</v>
      </c>
      <c r="N41" s="3">
        <v>0</v>
      </c>
      <c r="O41" s="3">
        <v>0</v>
      </c>
    </row>
    <row r="44" spans="2:16" x14ac:dyDescent="0.25">
      <c r="B44" s="4">
        <v>200</v>
      </c>
      <c r="C44" s="5" t="s">
        <v>0</v>
      </c>
      <c r="D44" s="5" t="s">
        <v>0</v>
      </c>
      <c r="E44" s="5" t="s">
        <v>0</v>
      </c>
      <c r="F44" s="5" t="s">
        <v>0</v>
      </c>
      <c r="G44" s="3">
        <v>0</v>
      </c>
      <c r="K44" s="4">
        <v>90</v>
      </c>
      <c r="L44" s="3" t="s">
        <v>0</v>
      </c>
      <c r="M44" s="3" t="s">
        <v>0</v>
      </c>
      <c r="N44" s="3" t="s">
        <v>0</v>
      </c>
      <c r="O44" s="4">
        <v>110</v>
      </c>
      <c r="P44" s="3">
        <v>0</v>
      </c>
    </row>
    <row r="45" spans="2:16" x14ac:dyDescent="0.25">
      <c r="B45" s="4">
        <v>70</v>
      </c>
      <c r="C45" s="4">
        <v>130</v>
      </c>
      <c r="D45" s="4">
        <v>150</v>
      </c>
      <c r="E45" s="5" t="s">
        <v>0</v>
      </c>
      <c r="F45" s="5" t="s">
        <v>0</v>
      </c>
      <c r="G45" s="3">
        <v>0</v>
      </c>
      <c r="K45" s="3" t="s">
        <v>0</v>
      </c>
      <c r="L45" s="4">
        <v>10</v>
      </c>
      <c r="M45" s="4">
        <v>190</v>
      </c>
      <c r="N45" s="4">
        <v>150</v>
      </c>
      <c r="O45" s="3" t="s">
        <v>0</v>
      </c>
      <c r="P45" s="3">
        <v>0</v>
      </c>
    </row>
    <row r="46" spans="2:16" x14ac:dyDescent="0.25">
      <c r="B46" s="5" t="s">
        <v>0</v>
      </c>
      <c r="C46" s="5" t="s">
        <v>0</v>
      </c>
      <c r="D46" s="4">
        <v>40</v>
      </c>
      <c r="E46" s="4">
        <v>150</v>
      </c>
      <c r="F46" s="4">
        <v>110</v>
      </c>
      <c r="G46" s="3">
        <v>0</v>
      </c>
      <c r="K46" s="4">
        <v>180</v>
      </c>
      <c r="L46" s="4">
        <v>59</v>
      </c>
      <c r="M46" s="3" t="s">
        <v>0</v>
      </c>
      <c r="N46" s="3" t="s">
        <v>0</v>
      </c>
      <c r="O46" s="3" t="s">
        <v>0</v>
      </c>
      <c r="P46" s="3">
        <v>120</v>
      </c>
    </row>
    <row r="47" spans="2:16" x14ac:dyDescent="0.25"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/>
      <c r="K47" s="3">
        <v>0</v>
      </c>
      <c r="L47" s="3">
        <v>120</v>
      </c>
      <c r="M47" s="3">
        <v>0</v>
      </c>
      <c r="N47" s="3">
        <v>0</v>
      </c>
      <c r="O47" s="3">
        <v>0</v>
      </c>
    </row>
    <row r="50" spans="1:16" x14ac:dyDescent="0.25">
      <c r="B50" s="4">
        <v>200</v>
      </c>
      <c r="C50" s="5" t="s">
        <v>0</v>
      </c>
      <c r="D50" s="5" t="s">
        <v>0</v>
      </c>
      <c r="E50" s="5" t="s">
        <v>0</v>
      </c>
      <c r="F50" s="5" t="s">
        <v>0</v>
      </c>
      <c r="G50" s="3">
        <v>200</v>
      </c>
      <c r="K50" s="4">
        <v>90</v>
      </c>
      <c r="L50" s="3" t="s">
        <v>0</v>
      </c>
      <c r="M50" s="3" t="s">
        <v>0</v>
      </c>
      <c r="N50" s="3" t="s">
        <v>0</v>
      </c>
      <c r="O50" s="4">
        <v>110</v>
      </c>
      <c r="P50" s="3">
        <v>0</v>
      </c>
    </row>
    <row r="51" spans="1:16" x14ac:dyDescent="0.25">
      <c r="B51" s="4">
        <v>70</v>
      </c>
      <c r="C51" s="4">
        <v>130</v>
      </c>
      <c r="D51" s="4">
        <v>150</v>
      </c>
      <c r="E51" s="5" t="s">
        <v>0</v>
      </c>
      <c r="F51" s="5" t="s">
        <v>0</v>
      </c>
      <c r="G51" s="3">
        <v>350</v>
      </c>
      <c r="K51" s="3" t="s">
        <v>0</v>
      </c>
      <c r="L51" s="4">
        <v>10</v>
      </c>
      <c r="M51" s="4">
        <v>190</v>
      </c>
      <c r="N51" s="4">
        <v>150</v>
      </c>
      <c r="O51" s="3" t="s">
        <v>0</v>
      </c>
      <c r="P51" s="3">
        <v>0</v>
      </c>
    </row>
    <row r="52" spans="1:16" x14ac:dyDescent="0.25">
      <c r="B52" s="5" t="s">
        <v>0</v>
      </c>
      <c r="C52" s="5" t="s">
        <v>0</v>
      </c>
      <c r="D52" s="4">
        <v>40</v>
      </c>
      <c r="E52" s="4">
        <v>150</v>
      </c>
      <c r="F52" s="4">
        <v>110</v>
      </c>
      <c r="G52" s="3">
        <v>300</v>
      </c>
      <c r="K52" s="4">
        <v>180</v>
      </c>
      <c r="L52" s="4">
        <v>120</v>
      </c>
      <c r="M52" s="3" t="s">
        <v>0</v>
      </c>
      <c r="N52" s="3" t="s">
        <v>0</v>
      </c>
      <c r="O52" s="3" t="s">
        <v>0</v>
      </c>
      <c r="P52" s="3">
        <v>0</v>
      </c>
    </row>
    <row r="53" spans="1:16" x14ac:dyDescent="0.25">
      <c r="B53" s="3">
        <v>270</v>
      </c>
      <c r="C53" s="3">
        <v>130</v>
      </c>
      <c r="D53" s="3">
        <v>190</v>
      </c>
      <c r="E53" s="3">
        <v>150</v>
      </c>
      <c r="F53" s="3">
        <v>110</v>
      </c>
      <c r="G53" s="3">
        <f>SUM(B53:F53)</f>
        <v>850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6" spans="1:16" x14ac:dyDescent="0.25">
      <c r="B56" s="7" t="s">
        <v>1</v>
      </c>
      <c r="C56" s="7">
        <f>B50*B3+B51*B4+C51*C4+D51*D4+D52*D5+E52*E5+F52*F5</f>
        <v>28620</v>
      </c>
      <c r="K56" s="4">
        <v>90</v>
      </c>
      <c r="L56" s="3" t="s">
        <v>0</v>
      </c>
      <c r="M56" s="3" t="s">
        <v>0</v>
      </c>
      <c r="N56" s="3" t="s">
        <v>0</v>
      </c>
      <c r="O56" s="4">
        <v>110</v>
      </c>
      <c r="P56" s="3">
        <v>200</v>
      </c>
    </row>
    <row r="57" spans="1:16" x14ac:dyDescent="0.25">
      <c r="K57" s="3" t="s">
        <v>0</v>
      </c>
      <c r="L57" s="4">
        <v>10</v>
      </c>
      <c r="M57" s="4">
        <v>190</v>
      </c>
      <c r="N57" s="4">
        <v>150</v>
      </c>
      <c r="O57" s="3" t="s">
        <v>0</v>
      </c>
      <c r="P57" s="3">
        <v>250</v>
      </c>
    </row>
    <row r="58" spans="1:16" x14ac:dyDescent="0.25">
      <c r="K58" s="4">
        <v>180</v>
      </c>
      <c r="L58" s="4">
        <v>120</v>
      </c>
      <c r="M58" s="3" t="s">
        <v>0</v>
      </c>
      <c r="N58" s="3" t="s">
        <v>0</v>
      </c>
      <c r="O58" s="3" t="s">
        <v>0</v>
      </c>
      <c r="P58" s="3">
        <v>300</v>
      </c>
    </row>
    <row r="59" spans="1:16" x14ac:dyDescent="0.25">
      <c r="K59" s="3">
        <v>270</v>
      </c>
      <c r="L59" s="3">
        <v>130</v>
      </c>
      <c r="M59" s="3">
        <v>190</v>
      </c>
      <c r="N59" s="3">
        <v>150</v>
      </c>
      <c r="O59" s="3">
        <v>110</v>
      </c>
      <c r="P59">
        <f>SUM(K59:O59)</f>
        <v>850</v>
      </c>
    </row>
    <row r="62" spans="1:16" x14ac:dyDescent="0.25">
      <c r="K62" s="7" t="s">
        <v>4</v>
      </c>
      <c r="L62" s="7">
        <f>K56*K3+O56*O3+L57*L4+M57*M4+N57*N4+K58*K5+L58*L5</f>
        <v>24690</v>
      </c>
    </row>
    <row r="63" spans="1:16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spans="1:16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spans="1:13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spans="1:13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1:13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1:13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1:13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13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pans="1:13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1:13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1:13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Разумовская Елизавета Михайловна</dc:creator>
  <cp:lastModifiedBy>Мехти Джабаров</cp:lastModifiedBy>
  <dcterms:created xsi:type="dcterms:W3CDTF">2025-09-15T09:51:54Z</dcterms:created>
  <dcterms:modified xsi:type="dcterms:W3CDTF">2025-11-11T13:33:41Z</dcterms:modified>
</cp:coreProperties>
</file>