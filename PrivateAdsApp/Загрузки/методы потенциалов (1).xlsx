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khty\Downloads\"/>
    </mc:Choice>
  </mc:AlternateContent>
  <xr:revisionPtr revIDLastSave="0" documentId="13_ncr:1_{6EBD8A5E-6954-4BF1-9448-8229EE181BC0}" xr6:coauthVersionLast="47" xr6:coauthVersionMax="47" xr10:uidLastSave="{00000000-0000-0000-0000-000000000000}"/>
  <bookViews>
    <workbookView xWindow="-120" yWindow="-120" windowWidth="20730" windowHeight="11160" xr2:uid="{C33AA40D-19E7-43F3-B95B-84B878D9BC6C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1" i="2" l="1"/>
  <c r="AJ12" i="2"/>
  <c r="Y33" i="2"/>
  <c r="N34" i="2"/>
  <c r="AC30" i="2"/>
  <c r="P6" i="2"/>
  <c r="V2" i="2"/>
  <c r="G2" i="2"/>
  <c r="J37" i="2"/>
  <c r="A6" i="2"/>
</calcChain>
</file>

<file path=xl/sharedStrings.xml><?xml version="1.0" encoding="utf-8"?>
<sst xmlns="http://schemas.openxmlformats.org/spreadsheetml/2006/main" count="122" uniqueCount="10">
  <si>
    <t>-</t>
  </si>
  <si>
    <t xml:space="preserve">Стоимость </t>
  </si>
  <si>
    <t>Северо-западного угла</t>
  </si>
  <si>
    <t>Минимального элемента</t>
  </si>
  <si>
    <t>Стоисмость</t>
  </si>
  <si>
    <t>Метод потенциалов</t>
  </si>
  <si>
    <t>Итоговый оптимальный план</t>
  </si>
  <si>
    <t>Стоимость</t>
  </si>
  <si>
    <t>F=</t>
  </si>
  <si>
    <t>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</si>
</sst>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2" borderId="1" xfId="0" applyNumberFormat="1" applyFont="1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D42E-5723-4FE2-A315-15160DE76AC7}">
  <dimension ref="A1:AJ37"/>
  <sheetViews>
    <sheetView tabSelected="1" zoomScale="55" zoomScaleNormal="55" workbookViewId="0">
      <selection activeCell="I26" sqref="I26"/>
    </sheetView>
  </sheetViews>
  <sheetFormatPr defaultRowHeight="15" x14ac:dyDescent="0.25"/>
  <cols>
    <col min="18" max="18" width="10.42578125" customWidth="1"/>
    <col min="27" max="27" width="11.85546875" customWidth="1"/>
    <col min="36" max="36" width="12" customWidth="1"/>
  </cols>
  <sheetData>
    <row r="1" spans="1:36" x14ac:dyDescent="0.25">
      <c r="C1" t="s">
        <v>2</v>
      </c>
      <c r="I1" s="4">
        <v>200</v>
      </c>
      <c r="J1" s="5" t="s">
        <v>0</v>
      </c>
      <c r="K1" s="5" t="s">
        <v>0</v>
      </c>
      <c r="L1" s="5" t="s">
        <v>0</v>
      </c>
      <c r="M1" s="5" t="s">
        <v>0</v>
      </c>
      <c r="N1" s="3">
        <v>0</v>
      </c>
      <c r="R1" s="6" t="s">
        <v>3</v>
      </c>
      <c r="S1" s="6"/>
      <c r="T1" s="6"/>
      <c r="AE1" t="s">
        <v>5</v>
      </c>
    </row>
    <row r="2" spans="1:36" x14ac:dyDescent="0.25">
      <c r="G2">
        <f>SUM(G3:G5)</f>
        <v>850</v>
      </c>
      <c r="I2" s="4">
        <v>70</v>
      </c>
      <c r="J2" s="4">
        <v>130</v>
      </c>
      <c r="K2" s="3">
        <v>23</v>
      </c>
      <c r="L2" s="3">
        <v>17</v>
      </c>
      <c r="M2" s="3">
        <v>21</v>
      </c>
      <c r="N2" s="3">
        <v>150</v>
      </c>
      <c r="V2">
        <f>SUM(V3:V5)</f>
        <v>850</v>
      </c>
      <c r="AJ2">
        <v>850</v>
      </c>
    </row>
    <row r="3" spans="1:36" x14ac:dyDescent="0.25">
      <c r="B3" s="3">
        <v>24</v>
      </c>
      <c r="C3" s="3">
        <v>50</v>
      </c>
      <c r="D3" s="3">
        <v>55</v>
      </c>
      <c r="E3" s="3">
        <v>27</v>
      </c>
      <c r="F3" s="3">
        <v>16</v>
      </c>
      <c r="G3" s="3">
        <v>200</v>
      </c>
      <c r="I3" s="5" t="s">
        <v>0</v>
      </c>
      <c r="J3" s="5" t="s">
        <v>0</v>
      </c>
      <c r="K3" s="3">
        <v>55</v>
      </c>
      <c r="L3" s="3">
        <v>27</v>
      </c>
      <c r="M3" s="3">
        <v>41</v>
      </c>
      <c r="N3" s="3">
        <v>300</v>
      </c>
      <c r="Q3" s="3">
        <v>24</v>
      </c>
      <c r="R3" s="3">
        <v>50</v>
      </c>
      <c r="S3" s="3">
        <v>55</v>
      </c>
      <c r="T3" s="3">
        <v>27</v>
      </c>
      <c r="U3" s="3">
        <v>16</v>
      </c>
      <c r="V3" s="3">
        <v>200</v>
      </c>
      <c r="X3" s="4">
        <v>90</v>
      </c>
      <c r="Y3" s="3" t="s">
        <v>0</v>
      </c>
      <c r="Z3" s="3" t="s">
        <v>0</v>
      </c>
      <c r="AA3" s="3" t="s">
        <v>0</v>
      </c>
      <c r="AB3" s="4">
        <v>110</v>
      </c>
      <c r="AC3" s="3">
        <v>0</v>
      </c>
      <c r="AE3" s="3">
        <v>24</v>
      </c>
      <c r="AF3" s="3">
        <v>50</v>
      </c>
      <c r="AG3" s="3">
        <v>55</v>
      </c>
      <c r="AH3" s="3">
        <v>27</v>
      </c>
      <c r="AI3" s="3">
        <v>16</v>
      </c>
      <c r="AJ3" s="3">
        <v>200</v>
      </c>
    </row>
    <row r="4" spans="1:36" x14ac:dyDescent="0.25">
      <c r="B4" s="3">
        <v>50</v>
      </c>
      <c r="C4" s="3">
        <v>47</v>
      </c>
      <c r="D4" s="3">
        <v>23</v>
      </c>
      <c r="E4" s="3">
        <v>17</v>
      </c>
      <c r="F4" s="3">
        <v>21</v>
      </c>
      <c r="G4" s="3">
        <v>350</v>
      </c>
      <c r="I4" s="3">
        <v>0</v>
      </c>
      <c r="J4" s="3">
        <v>0</v>
      </c>
      <c r="K4" s="3">
        <v>190</v>
      </c>
      <c r="L4" s="3">
        <v>150</v>
      </c>
      <c r="M4" s="3">
        <v>110</v>
      </c>
      <c r="N4" s="3"/>
      <c r="Q4" s="3">
        <v>50</v>
      </c>
      <c r="R4" s="3">
        <v>47</v>
      </c>
      <c r="S4" s="3">
        <v>23</v>
      </c>
      <c r="T4" s="3">
        <v>17</v>
      </c>
      <c r="U4" s="3">
        <v>21</v>
      </c>
      <c r="V4" s="3">
        <v>350</v>
      </c>
      <c r="X4" s="3">
        <v>50</v>
      </c>
      <c r="Y4" s="3">
        <v>47</v>
      </c>
      <c r="Z4" s="4">
        <v>190</v>
      </c>
      <c r="AA4" s="4">
        <v>150</v>
      </c>
      <c r="AB4" s="3" t="s">
        <v>0</v>
      </c>
      <c r="AC4" s="3">
        <v>10</v>
      </c>
      <c r="AE4" s="3">
        <v>50</v>
      </c>
      <c r="AF4" s="3">
        <v>47</v>
      </c>
      <c r="AG4" s="3">
        <v>23</v>
      </c>
      <c r="AH4" s="3">
        <v>17</v>
      </c>
      <c r="AI4" s="3">
        <v>21</v>
      </c>
      <c r="AJ4" s="3">
        <v>350</v>
      </c>
    </row>
    <row r="5" spans="1:36" x14ac:dyDescent="0.25">
      <c r="B5" s="3">
        <v>35</v>
      </c>
      <c r="C5" s="3">
        <v>59</v>
      </c>
      <c r="D5" s="3">
        <v>55</v>
      </c>
      <c r="E5" s="3">
        <v>27</v>
      </c>
      <c r="F5" s="3">
        <v>41</v>
      </c>
      <c r="G5" s="3">
        <v>300</v>
      </c>
      <c r="Q5" s="3">
        <v>35</v>
      </c>
      <c r="R5" s="3">
        <v>59</v>
      </c>
      <c r="S5" s="3">
        <v>55</v>
      </c>
      <c r="T5" s="3">
        <v>27</v>
      </c>
      <c r="U5" s="3">
        <v>41</v>
      </c>
      <c r="V5" s="3">
        <v>300</v>
      </c>
      <c r="X5" s="4">
        <v>35</v>
      </c>
      <c r="Y5" s="3">
        <v>59</v>
      </c>
      <c r="Z5" s="3">
        <v>55</v>
      </c>
      <c r="AA5" s="3" t="s">
        <v>0</v>
      </c>
      <c r="AB5" s="3" t="s">
        <v>0</v>
      </c>
      <c r="AC5" s="3">
        <v>300</v>
      </c>
      <c r="AE5" s="3">
        <v>35</v>
      </c>
      <c r="AF5" s="3">
        <v>59</v>
      </c>
      <c r="AG5" s="3">
        <v>55</v>
      </c>
      <c r="AH5" s="3">
        <v>27</v>
      </c>
      <c r="AI5" s="3">
        <v>41</v>
      </c>
      <c r="AJ5" s="3">
        <v>300</v>
      </c>
    </row>
    <row r="6" spans="1:36" x14ac:dyDescent="0.25">
      <c r="A6">
        <f>SUM(B6:F6)</f>
        <v>850</v>
      </c>
      <c r="B6" s="3">
        <v>270</v>
      </c>
      <c r="C6" s="3">
        <v>130</v>
      </c>
      <c r="D6" s="3">
        <v>190</v>
      </c>
      <c r="E6" s="3">
        <v>150</v>
      </c>
      <c r="F6" s="3">
        <v>110</v>
      </c>
      <c r="P6">
        <f>SUM(Q6:U6)</f>
        <v>850</v>
      </c>
      <c r="Q6" s="3">
        <v>270</v>
      </c>
      <c r="R6" s="3">
        <v>130</v>
      </c>
      <c r="S6" s="3">
        <v>190</v>
      </c>
      <c r="T6" s="3">
        <v>150</v>
      </c>
      <c r="U6" s="3">
        <v>110</v>
      </c>
      <c r="X6" s="3">
        <v>180</v>
      </c>
      <c r="Y6" s="3">
        <v>130</v>
      </c>
      <c r="Z6" s="3">
        <v>0</v>
      </c>
      <c r="AA6" s="3">
        <v>0</v>
      </c>
      <c r="AB6" s="3">
        <v>0</v>
      </c>
      <c r="AD6">
        <v>850</v>
      </c>
      <c r="AE6" s="3">
        <v>270</v>
      </c>
      <c r="AF6" s="3">
        <v>130</v>
      </c>
      <c r="AG6" s="3">
        <v>190</v>
      </c>
      <c r="AH6" s="3">
        <v>150</v>
      </c>
      <c r="AI6" s="3">
        <v>110</v>
      </c>
    </row>
    <row r="7" spans="1:36" x14ac:dyDescent="0.25">
      <c r="I7" s="4">
        <v>200</v>
      </c>
      <c r="J7" s="5" t="s">
        <v>0</v>
      </c>
      <c r="K7" s="5" t="s">
        <v>0</v>
      </c>
      <c r="L7" s="5" t="s">
        <v>0</v>
      </c>
      <c r="M7" s="5" t="s">
        <v>0</v>
      </c>
      <c r="N7" s="3">
        <v>0</v>
      </c>
    </row>
    <row r="8" spans="1:36" x14ac:dyDescent="0.25">
      <c r="I8" s="4">
        <v>70</v>
      </c>
      <c r="J8" s="4">
        <v>130</v>
      </c>
      <c r="K8" s="4">
        <v>150</v>
      </c>
      <c r="L8" s="5" t="s">
        <v>0</v>
      </c>
      <c r="M8" s="5" t="s">
        <v>0</v>
      </c>
      <c r="N8" s="3">
        <v>0</v>
      </c>
    </row>
    <row r="9" spans="1:36" x14ac:dyDescent="0.25">
      <c r="B9" s="1">
        <v>200</v>
      </c>
      <c r="C9" s="2">
        <v>50</v>
      </c>
      <c r="D9" s="2">
        <v>55</v>
      </c>
      <c r="E9" s="2">
        <v>27</v>
      </c>
      <c r="F9" s="2">
        <v>16</v>
      </c>
      <c r="G9" s="2">
        <v>0</v>
      </c>
      <c r="I9" s="5" t="s">
        <v>0</v>
      </c>
      <c r="J9" s="5" t="s">
        <v>0</v>
      </c>
      <c r="K9" s="3">
        <v>55</v>
      </c>
      <c r="L9" s="3">
        <v>27</v>
      </c>
      <c r="M9" s="3">
        <v>41</v>
      </c>
      <c r="N9" s="3">
        <v>300</v>
      </c>
      <c r="Q9" s="3">
        <v>24</v>
      </c>
      <c r="R9" s="3">
        <v>50</v>
      </c>
      <c r="S9" s="3">
        <v>55</v>
      </c>
      <c r="T9" s="3">
        <v>27</v>
      </c>
      <c r="U9" s="4">
        <v>16</v>
      </c>
      <c r="V9" s="3">
        <v>200</v>
      </c>
      <c r="X9" s="4">
        <v>90</v>
      </c>
      <c r="Y9" s="3" t="s">
        <v>0</v>
      </c>
      <c r="Z9" s="3" t="s">
        <v>0</v>
      </c>
      <c r="AA9" s="3" t="s">
        <v>0</v>
      </c>
      <c r="AB9" s="4">
        <v>110</v>
      </c>
      <c r="AC9" s="3">
        <v>0</v>
      </c>
      <c r="AE9" s="4">
        <v>90</v>
      </c>
      <c r="AF9" s="3" t="s">
        <v>0</v>
      </c>
      <c r="AG9" s="3" t="s">
        <v>0</v>
      </c>
      <c r="AH9" s="3" t="s">
        <v>0</v>
      </c>
      <c r="AI9" s="4">
        <v>110</v>
      </c>
      <c r="AJ9" s="3">
        <v>200</v>
      </c>
    </row>
    <row r="10" spans="1:36" x14ac:dyDescent="0.25">
      <c r="B10" s="3">
        <v>50</v>
      </c>
      <c r="C10" s="3">
        <v>47</v>
      </c>
      <c r="D10" s="3">
        <v>23</v>
      </c>
      <c r="E10" s="3">
        <v>17</v>
      </c>
      <c r="F10" s="3">
        <v>21</v>
      </c>
      <c r="G10" s="3">
        <v>350</v>
      </c>
      <c r="I10" s="3">
        <v>0</v>
      </c>
      <c r="J10" s="3">
        <v>0</v>
      </c>
      <c r="K10" s="3">
        <v>40</v>
      </c>
      <c r="L10" s="3">
        <v>150</v>
      </c>
      <c r="M10" s="3">
        <v>110</v>
      </c>
      <c r="N10" s="3"/>
      <c r="Q10" s="3">
        <v>50</v>
      </c>
      <c r="R10" s="3">
        <v>47</v>
      </c>
      <c r="S10" s="3">
        <v>23</v>
      </c>
      <c r="T10" s="3">
        <v>17</v>
      </c>
      <c r="U10" s="2">
        <v>21</v>
      </c>
      <c r="V10" s="3">
        <v>350</v>
      </c>
      <c r="X10" s="3">
        <v>50</v>
      </c>
      <c r="Y10" s="4">
        <v>47</v>
      </c>
      <c r="Z10" s="4">
        <v>190</v>
      </c>
      <c r="AA10" s="4">
        <v>150</v>
      </c>
      <c r="AB10" s="3" t="s">
        <v>0</v>
      </c>
      <c r="AC10" s="3">
        <v>10</v>
      </c>
      <c r="AE10" s="3" t="s">
        <v>0</v>
      </c>
      <c r="AF10" s="4">
        <v>10</v>
      </c>
      <c r="AG10" s="4">
        <v>190</v>
      </c>
      <c r="AH10" s="4">
        <v>150</v>
      </c>
      <c r="AI10" s="3" t="s">
        <v>0</v>
      </c>
      <c r="AJ10" s="3">
        <v>250</v>
      </c>
    </row>
    <row r="11" spans="1:36" x14ac:dyDescent="0.25">
      <c r="B11" s="3">
        <v>35</v>
      </c>
      <c r="C11" s="3">
        <v>59</v>
      </c>
      <c r="D11" s="3">
        <v>55</v>
      </c>
      <c r="E11" s="3">
        <v>27</v>
      </c>
      <c r="F11" s="3">
        <v>41</v>
      </c>
      <c r="G11" s="3">
        <v>300</v>
      </c>
      <c r="Q11" s="3">
        <v>35</v>
      </c>
      <c r="R11" s="3">
        <v>59</v>
      </c>
      <c r="S11" s="3">
        <v>55</v>
      </c>
      <c r="T11" s="3">
        <v>27</v>
      </c>
      <c r="U11" s="2">
        <v>41</v>
      </c>
      <c r="V11" s="3">
        <v>300</v>
      </c>
      <c r="X11" s="4">
        <v>180</v>
      </c>
      <c r="Y11" s="3">
        <v>59</v>
      </c>
      <c r="Z11" s="3">
        <v>55</v>
      </c>
      <c r="AA11" s="3" t="s">
        <v>0</v>
      </c>
      <c r="AB11" s="3" t="s">
        <v>0</v>
      </c>
      <c r="AC11" s="3">
        <v>120</v>
      </c>
      <c r="AE11" s="4">
        <v>180</v>
      </c>
      <c r="AF11" s="4">
        <v>120</v>
      </c>
      <c r="AG11" s="3" t="s">
        <v>0</v>
      </c>
      <c r="AH11" s="3" t="s">
        <v>0</v>
      </c>
      <c r="AI11" s="3" t="s">
        <v>0</v>
      </c>
      <c r="AJ11" s="3">
        <v>300</v>
      </c>
    </row>
    <row r="12" spans="1:36" x14ac:dyDescent="0.25">
      <c r="B12" s="3">
        <v>70</v>
      </c>
      <c r="C12" s="3">
        <v>130</v>
      </c>
      <c r="D12" s="3">
        <v>190</v>
      </c>
      <c r="E12" s="3">
        <v>150</v>
      </c>
      <c r="F12" s="3">
        <v>110</v>
      </c>
      <c r="G12" s="3"/>
      <c r="Q12" s="3">
        <v>270</v>
      </c>
      <c r="R12" s="3">
        <v>130</v>
      </c>
      <c r="S12" s="3">
        <v>190</v>
      </c>
      <c r="T12" s="3">
        <v>150</v>
      </c>
      <c r="U12" s="2">
        <v>110</v>
      </c>
      <c r="X12" s="3">
        <v>0</v>
      </c>
      <c r="Y12" s="3">
        <v>130</v>
      </c>
      <c r="Z12" s="3">
        <v>0</v>
      </c>
      <c r="AA12" s="3">
        <v>0</v>
      </c>
      <c r="AB12" s="3">
        <v>0</v>
      </c>
      <c r="AE12" s="3">
        <v>270</v>
      </c>
      <c r="AF12" s="3">
        <v>130</v>
      </c>
      <c r="AG12" s="3">
        <v>190</v>
      </c>
      <c r="AH12" s="3">
        <v>150</v>
      </c>
      <c r="AI12" s="3">
        <v>110</v>
      </c>
      <c r="AJ12">
        <f>SUM(AE12:AI12)</f>
        <v>850</v>
      </c>
    </row>
    <row r="13" spans="1:36" x14ac:dyDescent="0.25">
      <c r="I13" s="4">
        <v>200</v>
      </c>
      <c r="J13" s="5" t="s">
        <v>0</v>
      </c>
      <c r="K13" s="5" t="s">
        <v>0</v>
      </c>
      <c r="L13" s="5" t="s">
        <v>0</v>
      </c>
      <c r="M13" s="5" t="s">
        <v>0</v>
      </c>
      <c r="N13" s="3">
        <v>0</v>
      </c>
    </row>
    <row r="14" spans="1:36" x14ac:dyDescent="0.25">
      <c r="B14" s="4">
        <v>200</v>
      </c>
      <c r="C14" s="5" t="s">
        <v>0</v>
      </c>
      <c r="D14" s="5" t="s">
        <v>0</v>
      </c>
      <c r="E14" s="5" t="s">
        <v>0</v>
      </c>
      <c r="F14" s="5" t="s">
        <v>0</v>
      </c>
      <c r="G14" s="3">
        <v>0</v>
      </c>
      <c r="I14" s="4">
        <v>70</v>
      </c>
      <c r="J14" s="4">
        <v>130</v>
      </c>
      <c r="K14" s="4">
        <v>150</v>
      </c>
      <c r="L14" s="5" t="s">
        <v>0</v>
      </c>
      <c r="M14" s="5" t="s">
        <v>0</v>
      </c>
      <c r="N14" s="3">
        <v>0</v>
      </c>
      <c r="AE14" t="s">
        <v>6</v>
      </c>
    </row>
    <row r="15" spans="1:36" x14ac:dyDescent="0.25">
      <c r="B15" s="4">
        <v>70</v>
      </c>
      <c r="C15" s="3">
        <v>47</v>
      </c>
      <c r="D15" s="3">
        <v>23</v>
      </c>
      <c r="E15" s="3">
        <v>17</v>
      </c>
      <c r="F15" s="3">
        <v>21</v>
      </c>
      <c r="G15" s="3">
        <v>280</v>
      </c>
      <c r="I15" s="5" t="s">
        <v>0</v>
      </c>
      <c r="J15" s="5" t="s">
        <v>0</v>
      </c>
      <c r="K15" s="4">
        <v>40</v>
      </c>
      <c r="L15" s="3">
        <v>27</v>
      </c>
      <c r="M15" s="3">
        <v>41</v>
      </c>
      <c r="N15" s="3">
        <v>260</v>
      </c>
      <c r="Q15" s="3">
        <v>24</v>
      </c>
      <c r="R15" s="3">
        <v>50</v>
      </c>
      <c r="S15" s="3">
        <v>55</v>
      </c>
      <c r="T15" s="3">
        <v>27</v>
      </c>
      <c r="U15" s="4">
        <v>110</v>
      </c>
      <c r="V15" s="3">
        <v>90</v>
      </c>
      <c r="X15" s="4">
        <v>90</v>
      </c>
      <c r="Y15" s="3" t="s">
        <v>0</v>
      </c>
      <c r="Z15" s="3" t="s">
        <v>0</v>
      </c>
      <c r="AA15" s="3" t="s">
        <v>0</v>
      </c>
      <c r="AB15" s="4">
        <v>110</v>
      </c>
      <c r="AC15" s="3">
        <v>0</v>
      </c>
      <c r="AE15" s="3">
        <v>90</v>
      </c>
      <c r="AF15" s="3" t="s">
        <v>0</v>
      </c>
      <c r="AG15" s="3" t="s">
        <v>0</v>
      </c>
      <c r="AH15" s="3" t="s">
        <v>0</v>
      </c>
      <c r="AI15" s="3">
        <v>110</v>
      </c>
      <c r="AJ15">
        <v>200</v>
      </c>
    </row>
    <row r="16" spans="1:36" x14ac:dyDescent="0.25">
      <c r="B16" s="5" t="s">
        <v>0</v>
      </c>
      <c r="C16" s="3">
        <v>59</v>
      </c>
      <c r="D16" s="3">
        <v>55</v>
      </c>
      <c r="E16" s="3">
        <v>27</v>
      </c>
      <c r="F16" s="3">
        <v>41</v>
      </c>
      <c r="G16" s="3">
        <v>300</v>
      </c>
      <c r="I16" s="3">
        <v>0</v>
      </c>
      <c r="J16" s="3">
        <v>0</v>
      </c>
      <c r="K16" s="3">
        <v>0</v>
      </c>
      <c r="L16" s="3">
        <v>150</v>
      </c>
      <c r="M16" s="3">
        <v>110</v>
      </c>
      <c r="N16" s="3"/>
      <c r="Q16" s="3">
        <v>50</v>
      </c>
      <c r="R16" s="3">
        <v>47</v>
      </c>
      <c r="S16" s="3">
        <v>23</v>
      </c>
      <c r="T16" s="4">
        <v>17</v>
      </c>
      <c r="U16" s="3" t="s">
        <v>0</v>
      </c>
      <c r="V16" s="3">
        <v>350</v>
      </c>
      <c r="X16" s="3" t="s">
        <v>0</v>
      </c>
      <c r="Y16" s="4">
        <v>10</v>
      </c>
      <c r="Z16" s="4">
        <v>190</v>
      </c>
      <c r="AA16" s="4">
        <v>150</v>
      </c>
      <c r="AB16" s="3" t="s">
        <v>0</v>
      </c>
      <c r="AC16" s="3">
        <v>0</v>
      </c>
      <c r="AE16" s="3" t="s">
        <v>0</v>
      </c>
      <c r="AF16" s="3">
        <v>130</v>
      </c>
      <c r="AG16" s="3">
        <v>190</v>
      </c>
      <c r="AH16" s="3">
        <v>30</v>
      </c>
      <c r="AI16" s="3" t="s">
        <v>0</v>
      </c>
      <c r="AJ16" s="8">
        <v>350</v>
      </c>
    </row>
    <row r="17" spans="2:36" x14ac:dyDescent="0.25">
      <c r="B17" s="3">
        <v>0</v>
      </c>
      <c r="C17" s="3">
        <v>130</v>
      </c>
      <c r="D17" s="3">
        <v>190</v>
      </c>
      <c r="E17" s="3">
        <v>150</v>
      </c>
      <c r="F17" s="3">
        <v>110</v>
      </c>
      <c r="G17" s="3"/>
      <c r="Q17" s="3">
        <v>35</v>
      </c>
      <c r="R17" s="3">
        <v>59</v>
      </c>
      <c r="S17" s="3">
        <v>55</v>
      </c>
      <c r="T17" s="3">
        <v>27</v>
      </c>
      <c r="U17" s="3" t="s">
        <v>0</v>
      </c>
      <c r="V17" s="3">
        <v>300</v>
      </c>
      <c r="X17" s="4">
        <v>180</v>
      </c>
      <c r="Y17" s="4">
        <v>59</v>
      </c>
      <c r="Z17" s="3" t="s">
        <v>0</v>
      </c>
      <c r="AA17" s="3" t="s">
        <v>0</v>
      </c>
      <c r="AB17" s="3" t="s">
        <v>0</v>
      </c>
      <c r="AC17" s="3">
        <v>120</v>
      </c>
      <c r="AE17" s="3">
        <v>180</v>
      </c>
      <c r="AF17" s="3" t="s">
        <v>0</v>
      </c>
      <c r="AG17" s="3" t="s">
        <v>0</v>
      </c>
      <c r="AH17" s="3">
        <v>120</v>
      </c>
      <c r="AI17" s="3" t="s">
        <v>0</v>
      </c>
      <c r="AJ17">
        <v>300</v>
      </c>
    </row>
    <row r="18" spans="2:36" x14ac:dyDescent="0.25">
      <c r="Q18" s="3">
        <v>270</v>
      </c>
      <c r="R18" s="3">
        <v>130</v>
      </c>
      <c r="S18" s="3">
        <v>190</v>
      </c>
      <c r="T18" s="3">
        <v>150</v>
      </c>
      <c r="U18" s="3">
        <v>0</v>
      </c>
      <c r="X18" s="3">
        <v>0</v>
      </c>
      <c r="Y18" s="3">
        <v>120</v>
      </c>
      <c r="Z18" s="3">
        <v>0</v>
      </c>
      <c r="AA18" s="3">
        <v>0</v>
      </c>
      <c r="AB18" s="3">
        <v>0</v>
      </c>
    </row>
    <row r="19" spans="2:36" x14ac:dyDescent="0.25">
      <c r="I19" s="4">
        <v>200</v>
      </c>
      <c r="J19" s="5" t="s">
        <v>0</v>
      </c>
      <c r="K19" s="5" t="s">
        <v>0</v>
      </c>
      <c r="L19" s="5" t="s">
        <v>0</v>
      </c>
      <c r="M19" s="5" t="s">
        <v>0</v>
      </c>
      <c r="N19" s="3">
        <v>0</v>
      </c>
    </row>
    <row r="20" spans="2:36" x14ac:dyDescent="0.25">
      <c r="I20" s="4">
        <v>70</v>
      </c>
      <c r="J20" s="4">
        <v>130</v>
      </c>
      <c r="K20" s="4">
        <v>150</v>
      </c>
      <c r="L20" s="5" t="s">
        <v>0</v>
      </c>
      <c r="M20" s="5" t="s">
        <v>0</v>
      </c>
      <c r="N20" s="3">
        <v>0</v>
      </c>
    </row>
    <row r="21" spans="2:36" x14ac:dyDescent="0.25">
      <c r="I21" s="5" t="s">
        <v>0</v>
      </c>
      <c r="J21" s="5" t="s">
        <v>0</v>
      </c>
      <c r="K21" s="4">
        <v>40</v>
      </c>
      <c r="L21" s="4">
        <v>150</v>
      </c>
      <c r="M21" s="3">
        <v>41</v>
      </c>
      <c r="N21" s="3">
        <v>110</v>
      </c>
      <c r="Q21" s="3">
        <v>24</v>
      </c>
      <c r="R21" s="3">
        <v>50</v>
      </c>
      <c r="S21" s="3">
        <v>55</v>
      </c>
      <c r="T21" s="3" t="s">
        <v>0</v>
      </c>
      <c r="U21" s="4">
        <v>110</v>
      </c>
      <c r="V21" s="3">
        <v>90</v>
      </c>
      <c r="X21" s="4">
        <v>90</v>
      </c>
      <c r="Y21" s="3" t="s">
        <v>0</v>
      </c>
      <c r="Z21" s="3" t="s">
        <v>0</v>
      </c>
      <c r="AA21" s="3" t="s">
        <v>0</v>
      </c>
      <c r="AB21" s="4">
        <v>110</v>
      </c>
      <c r="AC21" s="3">
        <v>0</v>
      </c>
      <c r="AE21" t="s">
        <v>7</v>
      </c>
      <c r="AF21" t="s">
        <v>8</v>
      </c>
      <c r="AG21">
        <f>AE15*AE3+AI15*AI3+AF16*AF4+AG16*AG4+AH16*AH4+AE17*AE5+AH17*AH5</f>
        <v>24450</v>
      </c>
    </row>
    <row r="22" spans="2:36" x14ac:dyDescent="0.25">
      <c r="I22" s="3">
        <v>0</v>
      </c>
      <c r="J22" s="3">
        <v>0</v>
      </c>
      <c r="K22" s="3">
        <v>0</v>
      </c>
      <c r="L22" s="3">
        <v>0</v>
      </c>
      <c r="M22" s="3">
        <v>110</v>
      </c>
      <c r="N22" s="3"/>
      <c r="Q22" s="3">
        <v>50</v>
      </c>
      <c r="R22" s="3">
        <v>47</v>
      </c>
      <c r="S22" s="4">
        <v>23</v>
      </c>
      <c r="T22" s="4">
        <v>150</v>
      </c>
      <c r="U22" s="3" t="s">
        <v>0</v>
      </c>
      <c r="V22" s="3">
        <v>200</v>
      </c>
      <c r="X22" s="3" t="s">
        <v>0</v>
      </c>
      <c r="Y22" s="4">
        <v>10</v>
      </c>
      <c r="Z22" s="4">
        <v>190</v>
      </c>
      <c r="AA22" s="4">
        <v>150</v>
      </c>
      <c r="AB22" s="3" t="s">
        <v>0</v>
      </c>
      <c r="AC22" s="3">
        <v>0</v>
      </c>
    </row>
    <row r="23" spans="2:36" x14ac:dyDescent="0.25">
      <c r="Q23" s="3">
        <v>35</v>
      </c>
      <c r="R23" s="3">
        <v>59</v>
      </c>
      <c r="S23" s="3">
        <v>55</v>
      </c>
      <c r="T23" s="3" t="s">
        <v>0</v>
      </c>
      <c r="U23" s="3" t="s">
        <v>0</v>
      </c>
      <c r="V23" s="3">
        <v>300</v>
      </c>
      <c r="X23" s="4">
        <v>180</v>
      </c>
      <c r="Y23" s="4">
        <v>120</v>
      </c>
      <c r="Z23" s="3" t="s">
        <v>0</v>
      </c>
      <c r="AA23" s="3" t="s">
        <v>0</v>
      </c>
      <c r="AB23" s="3" t="s">
        <v>0</v>
      </c>
      <c r="AC23" s="3">
        <v>0</v>
      </c>
    </row>
    <row r="24" spans="2:36" x14ac:dyDescent="0.25">
      <c r="Q24" s="3">
        <v>270</v>
      </c>
      <c r="R24" s="3">
        <v>130</v>
      </c>
      <c r="S24" s="3">
        <v>190</v>
      </c>
      <c r="T24" s="3">
        <v>0</v>
      </c>
      <c r="U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2:36" x14ac:dyDescent="0.25">
      <c r="I25" s="4">
        <v>200</v>
      </c>
      <c r="J25" s="5" t="s">
        <v>0</v>
      </c>
      <c r="K25" s="5" t="s">
        <v>0</v>
      </c>
      <c r="L25" s="5" t="s">
        <v>0</v>
      </c>
      <c r="M25" s="5" t="s">
        <v>0</v>
      </c>
      <c r="N25" s="3">
        <v>0</v>
      </c>
    </row>
    <row r="26" spans="2:36" x14ac:dyDescent="0.25">
      <c r="I26" s="4" t="s">
        <v>9</v>
      </c>
      <c r="J26" s="4">
        <v>130</v>
      </c>
      <c r="K26" s="4">
        <v>150</v>
      </c>
      <c r="L26" s="5" t="s">
        <v>0</v>
      </c>
      <c r="M26" s="5" t="s">
        <v>0</v>
      </c>
      <c r="N26" s="3">
        <v>0</v>
      </c>
    </row>
    <row r="27" spans="2:36" x14ac:dyDescent="0.25">
      <c r="I27" s="5" t="s">
        <v>0</v>
      </c>
      <c r="J27" s="5" t="s">
        <v>0</v>
      </c>
      <c r="K27" s="4">
        <v>40</v>
      </c>
      <c r="L27" s="4">
        <v>150</v>
      </c>
      <c r="M27" s="4">
        <v>110</v>
      </c>
      <c r="N27" s="3">
        <v>0</v>
      </c>
      <c r="Q27" s="4">
        <v>24</v>
      </c>
      <c r="R27" s="3">
        <v>50</v>
      </c>
      <c r="S27" s="3">
        <v>55</v>
      </c>
      <c r="T27" s="3" t="s">
        <v>0</v>
      </c>
      <c r="U27" s="4">
        <v>110</v>
      </c>
      <c r="V27" s="3">
        <v>90</v>
      </c>
      <c r="X27" s="4">
        <v>90</v>
      </c>
      <c r="Y27" s="3" t="s">
        <v>0</v>
      </c>
      <c r="Z27" s="3" t="s">
        <v>0</v>
      </c>
      <c r="AA27" s="3" t="s">
        <v>0</v>
      </c>
      <c r="AB27" s="4">
        <v>110</v>
      </c>
      <c r="AC27" s="3">
        <v>200</v>
      </c>
    </row>
    <row r="28" spans="2:36" x14ac:dyDescent="0.25"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  <c r="Q28" s="3">
        <v>50</v>
      </c>
      <c r="R28" s="3">
        <v>47</v>
      </c>
      <c r="S28" s="4">
        <v>23</v>
      </c>
      <c r="T28" s="4">
        <v>150</v>
      </c>
      <c r="U28" s="3" t="s">
        <v>0</v>
      </c>
      <c r="V28" s="3">
        <v>10</v>
      </c>
      <c r="X28" s="3" t="s">
        <v>0</v>
      </c>
      <c r="Y28" s="4">
        <v>10</v>
      </c>
      <c r="Z28" s="4">
        <v>190</v>
      </c>
      <c r="AA28" s="4">
        <v>150</v>
      </c>
      <c r="AB28" s="3" t="s">
        <v>0</v>
      </c>
      <c r="AC28" s="3">
        <v>250</v>
      </c>
    </row>
    <row r="29" spans="2:36" x14ac:dyDescent="0.25">
      <c r="Q29" s="3">
        <v>35</v>
      </c>
      <c r="R29" s="3">
        <v>59</v>
      </c>
      <c r="S29" s="3">
        <v>55</v>
      </c>
      <c r="T29" s="3" t="s">
        <v>0</v>
      </c>
      <c r="U29" s="3" t="s">
        <v>0</v>
      </c>
      <c r="V29" s="3">
        <v>300</v>
      </c>
      <c r="X29" s="4">
        <v>180</v>
      </c>
      <c r="Y29" s="4">
        <v>120</v>
      </c>
      <c r="Z29" s="3" t="s">
        <v>0</v>
      </c>
      <c r="AA29" s="3" t="s">
        <v>0</v>
      </c>
      <c r="AB29" s="3" t="s">
        <v>0</v>
      </c>
      <c r="AC29" s="3">
        <v>300</v>
      </c>
    </row>
    <row r="30" spans="2:36" x14ac:dyDescent="0.25">
      <c r="Q30" s="3">
        <v>270</v>
      </c>
      <c r="R30" s="3">
        <v>130</v>
      </c>
      <c r="S30" s="3">
        <v>0</v>
      </c>
      <c r="T30" s="3">
        <v>0</v>
      </c>
      <c r="U30" s="3">
        <v>0</v>
      </c>
      <c r="X30" s="3">
        <v>270</v>
      </c>
      <c r="Y30" s="3">
        <v>130</v>
      </c>
      <c r="Z30" s="3">
        <v>190</v>
      </c>
      <c r="AA30" s="3">
        <v>150</v>
      </c>
      <c r="AB30" s="3">
        <v>110</v>
      </c>
      <c r="AC30">
        <f>SUM(X30:AB30)</f>
        <v>850</v>
      </c>
    </row>
    <row r="31" spans="2:36" x14ac:dyDescent="0.25">
      <c r="I31" s="4">
        <v>200</v>
      </c>
      <c r="J31" s="5" t="s">
        <v>0</v>
      </c>
      <c r="K31" s="5" t="s">
        <v>0</v>
      </c>
      <c r="L31" s="5" t="s">
        <v>0</v>
      </c>
      <c r="M31" s="5" t="s">
        <v>0</v>
      </c>
      <c r="N31" s="3">
        <v>200</v>
      </c>
    </row>
    <row r="32" spans="2:36" x14ac:dyDescent="0.25">
      <c r="I32" s="4">
        <v>70</v>
      </c>
      <c r="J32" s="4">
        <v>130</v>
      </c>
      <c r="K32" s="4">
        <v>150</v>
      </c>
      <c r="L32" s="5" t="s">
        <v>0</v>
      </c>
      <c r="M32" s="5" t="s">
        <v>0</v>
      </c>
      <c r="N32" s="3">
        <v>350</v>
      </c>
    </row>
    <row r="33" spans="9:25" x14ac:dyDescent="0.25">
      <c r="I33" s="5" t="s">
        <v>0</v>
      </c>
      <c r="J33" s="5" t="s">
        <v>0</v>
      </c>
      <c r="K33" s="4">
        <v>40</v>
      </c>
      <c r="L33" s="4">
        <v>150</v>
      </c>
      <c r="M33" s="4">
        <v>110</v>
      </c>
      <c r="N33" s="3">
        <v>300</v>
      </c>
      <c r="X33" s="7" t="s">
        <v>4</v>
      </c>
      <c r="Y33" s="7">
        <f>X27*Q3+AB27*U3+Y28*R4+Z28*S4+AA28*T4+X29*Q5+Y29*R5</f>
        <v>24690</v>
      </c>
    </row>
    <row r="34" spans="9:25" x14ac:dyDescent="0.25">
      <c r="I34" s="3">
        <v>270</v>
      </c>
      <c r="J34" s="3">
        <v>130</v>
      </c>
      <c r="K34" s="3">
        <v>190</v>
      </c>
      <c r="L34" s="3">
        <v>150</v>
      </c>
      <c r="M34" s="3">
        <v>110</v>
      </c>
      <c r="N34" s="3">
        <f>SUM(I34:M34)</f>
        <v>850</v>
      </c>
    </row>
    <row r="37" spans="9:25" x14ac:dyDescent="0.25">
      <c r="I37" s="7" t="s">
        <v>1</v>
      </c>
      <c r="J37" s="7">
        <f>I31*B3+I32*B4+J32*C4+K32*D4+K33*D5+L33*E5+M33*F5</f>
        <v>28620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Разумовская Елизавета Михайловна</dc:creator>
  <cp:lastModifiedBy>Мехти Джабаров</cp:lastModifiedBy>
  <dcterms:created xsi:type="dcterms:W3CDTF">2025-09-15T09:51:54Z</dcterms:created>
  <dcterms:modified xsi:type="dcterms:W3CDTF">2025-11-24T13:33:35Z</dcterms:modified>
</cp:coreProperties>
</file>